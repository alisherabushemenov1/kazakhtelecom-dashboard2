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КВ 2026" sheetId="1" r:id="rId5"/>
  </sheets>
  <definedNames>
    <definedName name="пар">#REF!</definedName>
    <definedName name="Подпрограмма">#REF!</definedName>
    <definedName name="БПДанные___10">#REF!</definedName>
    <definedName name="___wes940_1">#REF!</definedName>
    <definedName name="__________SP19">#REF!</definedName>
    <definedName name="мым">#REF!</definedName>
    <definedName name="_______SP11">#REF!</definedName>
    <definedName name="GoIndex">#REF!</definedName>
    <definedName name="пр">#REF!</definedName>
    <definedName name="compras1">#REF!</definedName>
    <definedName name="куау">#REF!</definedName>
    <definedName name="кв1">#REF!</definedName>
    <definedName name="宏蜂窝主设备价格">#REF!</definedName>
    <definedName name="фы">#REF!</definedName>
    <definedName name="в23ё">#REF!</definedName>
    <definedName name="_Fill">#REF!</definedName>
    <definedName name="_________SP18">#REF!</definedName>
    <definedName name="про">#REF!</definedName>
    <definedName name="_________SP11">#REF!</definedName>
    <definedName name="jkhj">#REF!</definedName>
    <definedName name="__________SP16">#REF!</definedName>
    <definedName name="__________SP5">#REF!</definedName>
    <definedName name="ччч">#REF!</definedName>
    <definedName name="dnjsnhdjk">#REF!</definedName>
    <definedName name="__SDU99">#REF!</definedName>
    <definedName name="фывфыв">#REF!</definedName>
    <definedName name="_______SP8">#REF!</definedName>
    <definedName name="XRefPaste27Row">#REF!</definedName>
    <definedName name="_________SP17">#REF!</definedName>
    <definedName name="Лямбда">#REF!</definedName>
    <definedName name="вв">#REF!</definedName>
    <definedName name="ew">#REF!</definedName>
    <definedName name="______SP14">#REF!</definedName>
    <definedName name="__________SP1888">#REF!</definedName>
    <definedName name="______SP11">#REF!</definedName>
    <definedName name="XRefPaste15Row">#REF!</definedName>
    <definedName name="XRefPaste33Row">#REF!</definedName>
    <definedName name="в10___0_1">#REF!</definedName>
    <definedName name="hjz">#REF!</definedName>
    <definedName name="data3">#REF!</definedName>
    <definedName name="рррр">#REF!</definedName>
    <definedName name="XRefPaste35Row">#REF!</definedName>
    <definedName name="ad">#REF!</definedName>
    <definedName name="Ремонт">#REF!</definedName>
    <definedName name="_12__123Graph_Fｸﾞﾗﾌ_7">#REF!</definedName>
    <definedName name="______SP10">#REF!</definedName>
    <definedName name="_________SP1888">#REF!</definedName>
    <definedName name="____________SP18">#REF!</definedName>
    <definedName name="XRefPaste24Row">#REF!</definedName>
    <definedName name="XRefPaste25Row">#REF!</definedName>
    <definedName name="ProdForm">#REF!</definedName>
    <definedName name="_________SP16">#REF!</definedName>
    <definedName name="ss">#REF!</definedName>
    <definedName name="Header2">#REF!</definedName>
    <definedName name="БЛРаздел2___10">#REF!</definedName>
    <definedName name="Comp">#REF!</definedName>
    <definedName name="Choices_Wrapper">#REF!</definedName>
    <definedName name="БЛРаздел1___10">#REF!</definedName>
    <definedName name="____________SP1">#REF!</definedName>
    <definedName name="____________SP20">#REF!</definedName>
    <definedName name="_bdm.636889e748ab45769bf689735645e3ee.edm">#REF!</definedName>
    <definedName name="ыа">#REF!</definedName>
    <definedName name="we">#REF!</definedName>
    <definedName name="БЛРаздел1___0">#REF!</definedName>
    <definedName name="Инвест">#REF!</definedName>
    <definedName name="____________SP14">#REF!</definedName>
    <definedName name="лжд">#REF!</definedName>
    <definedName name="____________SP9">#REF!</definedName>
    <definedName name="______SP17">#REF!</definedName>
    <definedName name="HiddenRows">#REF!</definedName>
    <definedName name="XRefCopy43Row">#REF!</definedName>
    <definedName name="ROI_1">#REF!</definedName>
    <definedName name="__________SP3">#REF!</definedName>
    <definedName name="Hid_Desc3">#REF!</definedName>
    <definedName name="ывар">#REF!</definedName>
    <definedName name="sheet2bbb">#REF!</definedName>
    <definedName name="XRefPaste12Row">#REF!</definedName>
    <definedName name="RCArea">#REF!</definedName>
    <definedName name="ауа">#REF!</definedName>
    <definedName name="微基站主设备">#REF!</definedName>
    <definedName name="sdff">#REF!</definedName>
    <definedName name="____________SP11">#REF!</definedName>
    <definedName name="微基站安装材料">#REF!</definedName>
    <definedName name="_8__123Graph_Dｸﾞﾗﾌ_7">#REF!</definedName>
    <definedName name="______SP12">#REF!</definedName>
    <definedName name="_______SP13">#REF!</definedName>
    <definedName name="MakeReport">#REF!</definedName>
    <definedName name="квефу">#REF!</definedName>
    <definedName name="Z_270BB401_5236_11D4_BB54_0050044E0CFA_.wvu.PrintArea">#REF!</definedName>
    <definedName name="shareholder">#REF!</definedName>
    <definedName name="ыв1">#REF!</definedName>
    <definedName name="sf">#REF!</definedName>
    <definedName name="каук">#REF!</definedName>
    <definedName name="_________SP20">#REF!</definedName>
    <definedName name="ыв">#REF!</definedName>
    <definedName name="XRefPaste9Row">#REF!</definedName>
    <definedName name="консолид">#REF!</definedName>
    <definedName name="_________SP14">#REF!</definedName>
    <definedName name="______SP18">#REF!</definedName>
    <definedName name="XRefPaste34Row">#REF!</definedName>
    <definedName name="______SP13">#REF!</definedName>
    <definedName name="__123Graph_LBL_B">#REF!</definedName>
    <definedName name="__________SP10">#REF!</definedName>
    <definedName name="_wes940_1">#REF!</definedName>
    <definedName name="пппп">#REF!</definedName>
    <definedName name="RNC软件">#REF!</definedName>
    <definedName name="_______SP19">#REF!</definedName>
    <definedName name="___xlnm.Database_1">#REF!</definedName>
    <definedName name="tbl_ProdInfo">#REF!</definedName>
    <definedName name="____________SP8">#REF!</definedName>
    <definedName name="оман">#REF!</definedName>
    <definedName name="lkj">#REF!</definedName>
    <definedName name="ads">#REF!</definedName>
    <definedName name="ede">#REF!</definedName>
    <definedName name="data2">#REF!</definedName>
    <definedName name="_Table1_In1">#REF!</definedName>
    <definedName name="__________SP18">#REF!</definedName>
    <definedName name="aaaaa">#REF!</definedName>
    <definedName name="Флажок16_Щелкнуть">#REF!</definedName>
    <definedName name="вар">#REF!</definedName>
    <definedName name="_________SP12">#REF!</definedName>
    <definedName name="XRefCopy2">#REF!</definedName>
    <definedName name="____________SP17">#REF!</definedName>
    <definedName name="Print_Area1">#REF!</definedName>
    <definedName name="XRefCopy42Row">#REF!</definedName>
    <definedName name="dsa">#REF!</definedName>
    <definedName name="XRefPaste32Row">#REF!</definedName>
    <definedName name="_________SP3">#REF!</definedName>
    <definedName name="GoData">#REF!</definedName>
    <definedName name="XRefCopy20Row">#REF!</definedName>
    <definedName name="______SP1888">#REF!</definedName>
    <definedName name="XRefCopy1">#REF!</definedName>
    <definedName name="_________SP5">#REF!</definedName>
    <definedName name="__________SP15">#REF!</definedName>
    <definedName name="data1">#REF!</definedName>
    <definedName name="ппп">#REF!</definedName>
    <definedName name="______SP8">#REF!</definedName>
    <definedName name="____________SP2">#REF!</definedName>
    <definedName name="temp_table">#REF!</definedName>
    <definedName name="微基站辅助材料">#REF!</definedName>
    <definedName name="__123Graph_122121">#REF!</definedName>
    <definedName name="аудиторам">#REF!</definedName>
    <definedName name="рп">#REF!</definedName>
    <definedName name="Z_A0AC4B42_5259_11D4_B5FE_00C04FC949BF_.wvu.PrintArea">#REF!</definedName>
    <definedName name="уау">#REF!</definedName>
    <definedName name="sdhks">#REF!</definedName>
    <definedName name="_bdm.25ce7f0132e94e92a13b20ec129faa84.edm">#REF!</definedName>
    <definedName name="ке">#REF!</definedName>
    <definedName name="Инвеспр1">#REF!</definedName>
    <definedName name="XRefActiveRow">#REF!</definedName>
    <definedName name="RNC安装材料">#REF!</definedName>
    <definedName name="_______SP4">#REF!</definedName>
    <definedName name="XRefCopy17Row">#REF!</definedName>
    <definedName name="______SP7">#REF!</definedName>
    <definedName name="ваку">#REF!</definedName>
    <definedName name="БО5">#REF!</definedName>
    <definedName name="йй">#REF!</definedName>
    <definedName name="ьт_1">#REF!</definedName>
    <definedName name="_________SP8">#REF!</definedName>
    <definedName name="sheet2aaaa">#REF!</definedName>
    <definedName name="fi_s_h">#REF!</definedName>
    <definedName name="XRefPaste30Row">#REF!</definedName>
    <definedName name="имсчмм">#REF!</definedName>
    <definedName name="_bdm.dedb8afe00574691bed0377892c255be.edm">#REF!</definedName>
    <definedName name="крке">#REF!</definedName>
    <definedName name="обуч">#REF!</definedName>
    <definedName name="cjvv">#REF!</definedName>
    <definedName name="соцпрогр">#REF!</definedName>
    <definedName name="HILH">#REF!</definedName>
    <definedName name="XRefCopy39Row">#REF!</definedName>
    <definedName name="укау">#REF!</definedName>
    <definedName name="__________SP12">#REF!</definedName>
    <definedName name="_fg1">#REF!</definedName>
    <definedName name="от">#REF!</definedName>
    <definedName name="______SP20">#REF!</definedName>
    <definedName name="АААААААА">#REF!</definedName>
    <definedName name="J">#REF!</definedName>
    <definedName name="XRefPaste21Row">#REF!</definedName>
    <definedName name="FinePrint">#REF!</definedName>
    <definedName name="XRefCopy31Row">#REF!</definedName>
    <definedName name="Z_C37E65A7_9893_435E_9759_72E0D8A5DD87_.wvu.PrintTitles">#REF!</definedName>
    <definedName name="XREF_COLUMN_1">#REF!</definedName>
    <definedName name="_______SP5">#REF!</definedName>
    <definedName name="Nada">#REF!</definedName>
    <definedName name="апмв">#REF!</definedName>
    <definedName name="f">#REF!</definedName>
    <definedName name="_________SP9">#REF!</definedName>
    <definedName name="_______SP7">#REF!</definedName>
    <definedName name="__________SP20">#REF!</definedName>
    <definedName name="_________SP19">#REF!</definedName>
    <definedName name="XRefCopy41Row">#REF!</definedName>
    <definedName name="sjdhks">#REF!</definedName>
    <definedName name="tbl">#REF!</definedName>
    <definedName name="asd">#REF!</definedName>
    <definedName name="微基站辅助设备">#REF!</definedName>
    <definedName name="k">#REF!</definedName>
    <definedName name="XRefPaste26Row">#REF!</definedName>
    <definedName name="宏蜂窝辅助材料">#REF!</definedName>
    <definedName name="XRefCopy2Row">#REF!</definedName>
    <definedName name="____________SP19">#REF!</definedName>
    <definedName name="фот_1">#REF!</definedName>
    <definedName name="з">#REF!</definedName>
    <definedName name="qs">#REF!</definedName>
    <definedName name="____________SP16">#REF!</definedName>
    <definedName name="XRefCopy32Row">#REF!</definedName>
    <definedName name="XRefPaste11Row">#REF!</definedName>
    <definedName name="КАТО">#REF!</definedName>
    <definedName name="AREA1">#REF!</definedName>
    <definedName name="м">#REF!</definedName>
    <definedName name="s1r">#REF!</definedName>
    <definedName name="ghj">#REF!</definedName>
    <definedName name="_10__123Graph_Eｸﾞﾗﾌ_7">#REF!</definedName>
    <definedName name="___SP1888">#REF!</definedName>
    <definedName name="БЛРаздел8___0">#REF!</definedName>
    <definedName name="XRefPaste19Row">#REF!</definedName>
    <definedName name="БПДанные___0">#REF!</definedName>
    <definedName name="I_1">#REF!</definedName>
    <definedName name="GoBack">#REF!</definedName>
    <definedName name="цу">#REF!</definedName>
    <definedName name="БЛРаздел9___10">#REF!</definedName>
    <definedName name="XRefPaste13Row">#REF!</definedName>
    <definedName name="консол">#REF!</definedName>
    <definedName name="БЛРаздел6___10">#REF!</definedName>
    <definedName name="укуку">#REF!</definedName>
    <definedName name="_________SP1">#REF!</definedName>
    <definedName name="ффф">#REF!</definedName>
    <definedName name="II_1">#REF!</definedName>
    <definedName name="______SP9">#REF!</definedName>
    <definedName name="XRefPaste22Row">#REF!</definedName>
    <definedName name="temp1">#REF!</definedName>
    <definedName name="ор">#REF!</definedName>
    <definedName name="宏蜂窝设备安装材料">#REF!</definedName>
    <definedName name="БЛРаздел4___0">#REF!</definedName>
    <definedName name="______SP2">#REF!</definedName>
    <definedName name="соцпрогр_1">#REF!</definedName>
    <definedName name="плюсНДС">#REF!</definedName>
    <definedName name="OMC地点">#REF!</definedName>
    <definedName name="апрр">#REF!</definedName>
    <definedName name="ytt">#REF!</definedName>
    <definedName name="ee">#REF!</definedName>
    <definedName name="XRefCopy40Row">#REF!</definedName>
    <definedName name="ук">#REF!</definedName>
    <definedName name="Hid_Desc4">#REF!</definedName>
    <definedName name="сссс">#REF!</definedName>
    <definedName name="ssp_ip软件金额">#REF!</definedName>
    <definedName name="ерке">#REF!</definedName>
    <definedName name="____wes940_1">#REF!</definedName>
    <definedName name="skjdlksl">#REF!</definedName>
    <definedName name="_________SP13">#REF!</definedName>
    <definedName name="Taxes">#REF!</definedName>
    <definedName name="退货清单金额">#REF!</definedName>
    <definedName name="Специфика">#REF!</definedName>
    <definedName name="XRefCopy16Row">#REF!</definedName>
    <definedName name="temp">#REF!</definedName>
    <definedName name="Код_1">#REF!</definedName>
    <definedName name="__________SP8">#REF!</definedName>
    <definedName name="XRefPaste38Row">#REF!</definedName>
    <definedName name="БЛРаздел5___10">#REF!</definedName>
    <definedName name="XRefCopy1Row">#REF!</definedName>
    <definedName name="мит">#REF!</definedName>
    <definedName name="__Fill1">#REF!</definedName>
    <definedName name="____________SP7">#REF!</definedName>
    <definedName name="培训金额">#REF!</definedName>
    <definedName name="______SP16">#REF!</definedName>
    <definedName name="______SP19">#REF!</definedName>
    <definedName name="отд">#REF!</definedName>
    <definedName name="rati">#REF!</definedName>
    <definedName name="XRefPaste29Row">#REF!</definedName>
    <definedName name="__________SP13">#REF!</definedName>
    <definedName name="dd">#REF!</definedName>
    <definedName name="Сводный_баланс_н_п_с">#REF!</definedName>
    <definedName name="XRefCopy37Row">#REF!</definedName>
    <definedName name="XRefCopy38Row">#REF!</definedName>
    <definedName name="_______SP9">#REF!</definedName>
    <definedName name="фотзп_1">#REF!</definedName>
    <definedName name="FOBLIST">#REF!</definedName>
    <definedName name="CompRas">#REF!</definedName>
    <definedName name="аука">#REF!</definedName>
    <definedName name="XRefCopy24Row">#REF!</definedName>
    <definedName name="Customize">#REF!</definedName>
    <definedName name="отделы">#REF!</definedName>
    <definedName name="Z_A0AC4B42_5259_11D4_B5FE_00C04FC949BF_.wvu.PrintTitles">#REF!</definedName>
    <definedName name="XRefPaste8Row">#REF!</definedName>
    <definedName name="Product">#REF!</definedName>
    <definedName name="ииииии">#REF!</definedName>
    <definedName name="XRefPaste28Row">#REF!</definedName>
    <definedName name="кркерер">#REF!</definedName>
    <definedName name="БЛРаздел8___10">#REF!</definedName>
    <definedName name="__________SP14">#REF!</definedName>
    <definedName name="Макрос1">#REF!</definedName>
    <definedName name="ddd">#REF!</definedName>
    <definedName name="ДоляНДС">#REF!</definedName>
    <definedName name="_bdm.d4793c27f8074432986841d5c7f8a510.edm">#REF!</definedName>
    <definedName name="kjh">#REF!</definedName>
    <definedName name="XRefPaste31Row">#REF!</definedName>
    <definedName name="__USD99">#REF!</definedName>
    <definedName name="XRefPaste20Row">#REF!</definedName>
    <definedName name="___xlnm.Database">#REF!</definedName>
    <definedName name="ап">#REF!</definedName>
    <definedName name="_SDU99">#REF!</definedName>
    <definedName name="_123Graph_121r51421">#REF!</definedName>
    <definedName name="еркер">#REF!</definedName>
    <definedName name="БЛРаздел6___0">#REF!</definedName>
    <definedName name="____________SP10">#REF!</definedName>
    <definedName name="БЛРаздел7___10">#REF!</definedName>
    <definedName name="XRefCopy22Row">#REF!</definedName>
    <definedName name="АБП">#REF!</definedName>
    <definedName name="_4__123Graph_Bｸﾞﾗﾌ_7">#REF!</definedName>
    <definedName name="кррк">#REF!</definedName>
    <definedName name="____SP1888">#REF!</definedName>
    <definedName name="__________SP2">#REF!</definedName>
    <definedName name="gyuui">#REF!</definedName>
    <definedName name="XRefCopy34Row">#REF!</definedName>
    <definedName name="_______SP16">#REF!</definedName>
    <definedName name="уц">#REF!</definedName>
    <definedName name="XRefCopy33Row">#REF!</definedName>
    <definedName name="GoAssetChart">#REF!</definedName>
    <definedName name="БЛРаздел2___0">#REF!</definedName>
    <definedName name="КАТО_1">#REF!</definedName>
    <definedName name="______SP5">#REF!</definedName>
    <definedName name="XRefCopy36Row">#REF!</definedName>
    <definedName name="БЛРаздел7___0">#REF!</definedName>
    <definedName name="XRefCopy29Row">#REF!</definedName>
    <definedName name="_123Graph_1232">#REF!</definedName>
    <definedName name="_______SP14">#REF!</definedName>
    <definedName name="XRefPaste23Row">#REF!</definedName>
    <definedName name="______SP4">#REF!</definedName>
    <definedName name="_________SP10">#REF!</definedName>
    <definedName name="__________SP11">#REF!</definedName>
    <definedName name="A12312312Aasda">#REF!</definedName>
    <definedName name="уакука">#REF!</definedName>
    <definedName name="БЛРаздел4___10">#REF!</definedName>
    <definedName name="ыыыы">#REF!</definedName>
    <definedName name="дебит">#REF!</definedName>
    <definedName name="XRefCopy35Row">#REF!</definedName>
    <definedName name="ррр">#REF!</definedName>
    <definedName name="_________SP2">#REF!</definedName>
    <definedName name="_Toc48988175">#REF!</definedName>
    <definedName name="XRefCopy30Row">#REF!</definedName>
    <definedName name="_2__123Graph_Aｸﾞﾗﾌ_7">#REF!</definedName>
    <definedName name="аа">#REF!</definedName>
    <definedName name="_bdm.8b53a8f7763948dc83628582fed90a33.edm">#REF!</definedName>
    <definedName name="_______SP10">#REF!</definedName>
    <definedName name="______SP1">#REF!</definedName>
    <definedName name="_______SP12">#REF!</definedName>
    <definedName name="XRefPaste18Row">#REF!</definedName>
    <definedName name="XRefCopy26Row">#REF!</definedName>
    <definedName name="OrderTable">#REF!</definedName>
    <definedName name="Excel_BuiltIn_Database_0_1">#REF!</definedName>
    <definedName name="_6__123Graph_Cｸﾞﾗﾌ_7">#REF!</definedName>
    <definedName name="_USD99">#REF!</definedName>
    <definedName name="SpecialPrice">#REF!</definedName>
    <definedName name="_______SP15">#REF!</definedName>
    <definedName name="____wes940">#REF!</definedName>
    <definedName name="кв2">#REF!</definedName>
    <definedName name="XRefPaste36Row">#REF!</definedName>
    <definedName name="до">#REF!</definedName>
    <definedName name="Тип_пункта">#REF!</definedName>
    <definedName name="RNC硬件">#REF!</definedName>
    <definedName name="_________SP4">#REF!</definedName>
    <definedName name="Hid_Desc9">#REF!</definedName>
    <definedName name="q">#REF!</definedName>
    <definedName name="____________SP13">#REF!</definedName>
    <definedName name="XRefCopy19Row">#REF!</definedName>
    <definedName name="yhs">#REF!</definedName>
    <definedName name="_______SP1888">#REF!</definedName>
    <definedName name="____________SP12">#REF!</definedName>
    <definedName name="мсм">#REF!</definedName>
    <definedName name="Область_печати_ИМ_1">#REF!</definedName>
    <definedName name="щш">#REF!</definedName>
    <definedName name="_________SP7">#REF!</definedName>
    <definedName name="CompOt">#REF!</definedName>
    <definedName name="_______SP2">#REF!</definedName>
    <definedName name="____________SP15">#REF!</definedName>
    <definedName name="Hid_Desc2">#REF!</definedName>
    <definedName name="_bdm.21032ed456a54f3c9b9f772acd2db2e4.edm">#REF!</definedName>
    <definedName name="fg">#REF!</definedName>
    <definedName name="XRefCopy28Row">#REF!</definedName>
    <definedName name="display_area_2">#REF!</definedName>
    <definedName name="мымыв">#REF!</definedName>
    <definedName name="jghj">#REF!</definedName>
    <definedName name="qqq">#REF!</definedName>
    <definedName name="укаукау">#REF!</definedName>
    <definedName name="БЛРаздел3___0">#REF!</definedName>
    <definedName name="БЛРаздел9___0">#REF!</definedName>
    <definedName name="XRefPaste37Row">#REF!</definedName>
    <definedName name="_______SP17">#REF!</definedName>
    <definedName name="NMT">#REF!</definedName>
    <definedName name="ke">#REF!</definedName>
    <definedName name="_______SP20">#REF!</definedName>
    <definedName name="备板备件金额">#REF!</definedName>
    <definedName name="asjdsk">#REF!</definedName>
    <definedName name="роь">#REF!</definedName>
    <definedName name="__________SP17">#REF!</definedName>
    <definedName name="det">#REF!</definedName>
    <definedName name="о">#REF!</definedName>
    <definedName name="sheet2ddd">#REF!</definedName>
    <definedName name="Z_270BB401_5236_11D4_BB54_0050044E0CFA_.wvu.PrintTitles">#REF!</definedName>
    <definedName name="сс">#REF!</definedName>
    <definedName name="___wes940">#REF!</definedName>
    <definedName name="qqqqq">#REF!</definedName>
    <definedName name="про_1">#REF!</definedName>
    <definedName name="______SP15">#REF!</definedName>
    <definedName name="_______SP3">#REF!</definedName>
    <definedName name="GoIncomeChart">#REF!</definedName>
    <definedName name="Фот">#REF!</definedName>
    <definedName name="с">#REF!</definedName>
    <definedName name="微基站天馈安装材料">#REF!</definedName>
    <definedName name="_______SP18">#REF!</definedName>
    <definedName name="MARGIN">#REF!</definedName>
    <definedName name="J_1">#REF!</definedName>
    <definedName name="XRefPaste16Row">#REF!</definedName>
    <definedName name="_bdm.1d7bb102b105481d85da1322e557219a.edm">#REF!</definedName>
    <definedName name="宏蜂窝天馈安装材料">#REF!</definedName>
    <definedName name="XRefCopy27Row">#REF!</definedName>
    <definedName name="s">#REF!</definedName>
    <definedName name="__________SP4">#REF!</definedName>
    <definedName name="____________SP5">#REF!</definedName>
    <definedName name="GoCashFlow">#REF!</definedName>
    <definedName name="XRefPaste10Row">#REF!</definedName>
    <definedName name="иии">#REF!</definedName>
    <definedName name="ркеркркер">#REF!</definedName>
    <definedName name="апп">#REF!</definedName>
    <definedName name="gg">#REF!</definedName>
    <definedName name="Фонды">#REF!</definedName>
    <definedName name="выплаты">#REF!</definedName>
    <definedName name="__________SP9">#REF!</definedName>
    <definedName name="Hid_Desc8">#REF!</definedName>
    <definedName name="парво">#REF!</definedName>
    <definedName name="XRefPaste14Row">#REF!</definedName>
    <definedName name="jhkh">#REF!</definedName>
    <definedName name="XRefCopy18Row">#REF!</definedName>
    <definedName name="уацацуаца">#REF!</definedName>
    <definedName name="фотзп">#REF!</definedName>
    <definedName name="ццуувцу">#REF!</definedName>
    <definedName name="__________SP7">#REF!</definedName>
    <definedName name="GoBalanceSheet">#REF!</definedName>
    <definedName name="工程">#REF!</definedName>
    <definedName name="ссы">#REF!</definedName>
    <definedName name="XRefPaste17Row">#REF!</definedName>
    <definedName name="____________SP4">#REF!</definedName>
    <definedName name="SDU">#REF!</definedName>
    <definedName name="as">#REF!</definedName>
    <definedName name="_bdm.776cc9b567764a80baf31ebf11c833d8.edm">#REF!</definedName>
    <definedName name="Программа">#REF!</definedName>
    <definedName name="БЛРаздел5___0">#REF!</definedName>
    <definedName name="XRefCopy23Row">#REF!</definedName>
    <definedName name="Compdva">#REF!</definedName>
    <definedName name="XRefCopy21Row">#REF!</definedName>
    <definedName name="RNC技术资料">#REF!</definedName>
    <definedName name="Hid_Desc5">#REF!</definedName>
    <definedName name="Подготовка_к_печати_и_сохранение0710">#REF!</definedName>
    <definedName name="gh">#REF!</definedName>
    <definedName name="GO_1">#REF!</definedName>
    <definedName name="____________SP3">#REF!</definedName>
    <definedName name="Способ">#REF!</definedName>
    <definedName name="______SP3">#REF!</definedName>
    <definedName name="_________SP15">#REF!</definedName>
    <definedName name="FCode">#REF!</definedName>
    <definedName name="цц">#REF!</definedName>
    <definedName name="____________SP1888">#REF!</definedName>
    <definedName name="БЛРаздел3___10">#REF!</definedName>
    <definedName name="U2.100">#REF!</definedName>
    <definedName name="Источник">#REF!</definedName>
    <definedName name="ilyhg">#REF!</definedName>
    <definedName name="LL">#REF!</definedName>
    <definedName name="дожд">#REF!</definedName>
    <definedName hidden="1" localSheetId="0" name="_xlnm._FilterDatabase">'БКВ 2026'!$B$3:$EA$298</definedName>
  </definedNames>
  <calcPr/>
</workbook>
</file>

<file path=xl/sharedStrings.xml><?xml version="1.0" encoding="utf-8"?>
<sst xmlns="http://schemas.openxmlformats.org/spreadsheetml/2006/main" count="798" uniqueCount="294">
  <si>
    <t>Тип</t>
  </si>
  <si>
    <t>СПП-элемент</t>
  </si>
  <si>
    <t xml:space="preserve">Спонсор проекта </t>
  </si>
  <si>
    <t>Менеджер проекта</t>
  </si>
  <si>
    <t>Наименование проекта</t>
  </si>
  <si>
    <t>План БКВ 2026 (предварит)</t>
  </si>
  <si>
    <t>январь</t>
  </si>
  <si>
    <t>февраль</t>
  </si>
  <si>
    <t>март</t>
  </si>
  <si>
    <t>1 квартал 2026</t>
  </si>
  <si>
    <t>апрель</t>
  </si>
  <si>
    <t>январь-апрель</t>
  </si>
  <si>
    <t>май</t>
  </si>
  <si>
    <t>январь-май</t>
  </si>
  <si>
    <t>июнь</t>
  </si>
  <si>
    <t>2 квартал 2026</t>
  </si>
  <si>
    <t>июль</t>
  </si>
  <si>
    <t>август</t>
  </si>
  <si>
    <t>сентябрь</t>
  </si>
  <si>
    <t>3 квартал 2026</t>
  </si>
  <si>
    <t>октябрь</t>
  </si>
  <si>
    <t>ноябрь</t>
  </si>
  <si>
    <t>декабрь</t>
  </si>
  <si>
    <t xml:space="preserve">4 квартал 2026 </t>
  </si>
  <si>
    <t>Экономия БКВ 2026</t>
  </si>
  <si>
    <t xml:space="preserve">Неосвоение БКВ 2026     </t>
  </si>
  <si>
    <t>ВП объемы БКВ 2026</t>
  </si>
  <si>
    <t xml:space="preserve"> % освоения от годовых объемов ДУП</t>
  </si>
  <si>
    <t>Пояснения и примечания о ходе реализации проектов</t>
  </si>
  <si>
    <t>план</t>
  </si>
  <si>
    <t>факт</t>
  </si>
  <si>
    <t>Всего</t>
  </si>
  <si>
    <t>Оборуд</t>
  </si>
  <si>
    <t>СМР</t>
  </si>
  <si>
    <t>ИТОГО:</t>
  </si>
  <si>
    <t>По проектам, реализуемым ДУП</t>
  </si>
  <si>
    <t>По проектам, реализуемым ДУП, без учета РБП</t>
  </si>
  <si>
    <t>Итого по портфелю проектов АО "Казахтелеком"(без ДЗК)</t>
  </si>
  <si>
    <t>Дефицит(-)/Профицит(+) БКВ по АО</t>
  </si>
  <si>
    <t xml:space="preserve">Стратегические проекты </t>
  </si>
  <si>
    <t>П</t>
  </si>
  <si>
    <t>Туганбаев С.М.</t>
  </si>
  <si>
    <t>Стратегический комплексный проект "Развертывание сети FTTH"</t>
  </si>
  <si>
    <t>I.25.ODS.34.001</t>
  </si>
  <si>
    <t>Елеманова А.С.</t>
  </si>
  <si>
    <t>Развертывание сети FTTH_г.Астана</t>
  </si>
  <si>
    <t>БЕ30 ДКБ, в том числе:</t>
  </si>
  <si>
    <t xml:space="preserve"> - переключение</t>
  </si>
  <si>
    <t>БЕ25 ДРБ, в том числе: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</si>
  <si>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11 220 тыс тг материалы
18 054 тыс тг заработная плата</t>
    </r>
  </si>
  <si>
    <t xml:space="preserve"> - перенос на РБП</t>
  </si>
  <si>
    <t>БЕ33 ОДС, в том числе:</t>
  </si>
  <si>
    <t xml:space="preserve"> - хоз Способ</t>
  </si>
  <si>
    <t>ДУП 34 подряд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</si>
  <si>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 xml:space="preserve">Передано СЗ от 03.02.2026 в ДПФ на сумму 2 351 257,55 без НДС по заключенному договору №1101936/2025/7 от 08.06.2025 ТОО "5А Engineering"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Заказ №1101936/2025/7/1 от 20.06.2025 - Кластера (1–6): ПСД на утверждении, ведутся СМР и установка опор (1–3  часть проект на согласовании, 4 и 6 части на экспертизе, 5 часть проекты на согласовании, после согласования будут загружены на экспертизу). Выполнение 20%.
Заказ №1101936/2025/7/002 от 20.06.2025 ЖК "BI Group" г.Астана - 1 оч.- 95% СМР выполнены.
Заказ №1101936/2025/7/004-01 от 27.08.2025 - ЖК "BI Group" г.Астана - 2 оч.-ведутся работы, выполнение СМР 90%.
Заказ №1101936/2025/7/008-01 от 18.05.2025 - ЖК "BI Group" г.Астана - 3 оч.-СМР в работе, проект согласован, смета на согласовании, ждем заключения, выполнение 20%.
Заказ №1101936/2025/7/003-01 от 23.07.2025 - Развертывание сети FTTH г. Астана. часть 7, 8, 9 – СМР по магистральной части завершены, ведутся работы по строительству распределительной части, Проект на экспертизе. Замечания исправлены, выполнение СМР – 80%.
Заказ №1098000/2025/1/004 от 04.09.2025 - Прокладка ВОЛС до клиентов B2B/B2G 1 часть– ИЗ 7 объектов, 4 СМР выполнены, исключены из проекта «Народный банк», LRT “Нурлы жол” строительство до последнего колодца ( нет доступа). ЛПУ 0.2 в работе. Выполнение -70%.
Заказ №1098000/2025/1/004 от 04.09.2025 - Прокладка ВОЛС до клиентов B2B/B2G 2 часть – ПСД готово, экспертиза пройдена, в работе СМР. По 2 спорт. комплексам (Билайн Арена, Дворец Единоборств им. Ушкемпирова) завершены, СМР в работе по Барыс Арена и ЛАСК Казахстан. По отелям из 10 объектов выполнен 1 объект (Алау). Выполнение 75 %.
Заказ №1101936/2025/7/006 от 02.10.2025 - Остановки района Сарайшык, г. Астана –СМР завершены, прошла приемка объектов, подготовка исполнительной документации. СМР выполнение -80%.
Заказ №1101936/2025/7/007 от 07.11.2025 - Развертывание сети FTTH г. Астана. часть 10,11 – ПСД на согласовании, экспертиза. По 10 Часть- выполнен СМР 2 ЖК West Side Астана, Ипподром, по остальным СМР в работе. Выполнение 10%.
Заказ №1101936/2025/7/007 от 07.11.2025 - Строительство телефонной канализации до 10 школ. В работе СМР по Начальной школе "Genius School", Алпамыс школа СМР готово на 80%, по остальным школам разработка ПСД.
Заказ №1101936/2025/7/007 от 07.11.2025 - Приоритетные 78 объектов видеонаблюдения г. Астана (G42) – ПСД разработаны, в работе СМР на 5%  (обследование трассы, задание на топосъемку), так же из 78 объектов исключили 3 объекта, на 37 объектов нет доступа.  Проект согласован, смета на согласовании у Заказчика. 
Заказ №1101936/2025/7/009 от 17.02.2026 - Развертывание сети FTTH_г.Астана. Часть 12-ПСД на разработке, СМР в работе (прокладке кабеля, монтаж муфт). Выполнение 10%.
Заказ №1101936/2025/7/010-01 от 18.02.2026 - Развертывание сети FTTH_г.Астана. Часть 13- ПСД на разработке. СМР по магистральной части выполнено на 30%.
Заказ №1101936/2025/7/011 от 18.02.2026 - Организация ТВ для объектов видеонаблюдения г.Астана (G42), 2 очередь- ПСД на разработке. Начаты работы по согласованию проведения внутренних работ.
Заказ 1101936/2025/7/014 от 18.02.2026 - Организация ТВ для объектов видеонаблюдения г.Астана (G42), 3 очередь- ПСД на разработке.
Заказ №1101936/2025/7/012 от 15.04.2026- Прокладка ВОЛС до клиентов B2B/B2G1,2 часть (дополнительные объекты),3 часть- ПСД на разработке.
Заказ № 1101936/2025/7/015 от 03.04.2026- Подключение остановок к сети интернет в г. Астана, района Нура- ПСД на разработке.
Заказ № 1101936/2025/7/016 от 14.05.2026 – Жилой массив Уркер-ПСД на разработке.
</t>
    </r>
    <r>
      <rPr>
        <rFont val="Times New Roman"/>
        <b/>
        <color theme="1"/>
        <sz val="12.0"/>
        <u/>
      </rPr>
      <t>Освоено:</t>
    </r>
    <r>
      <rPr>
        <rFont val="Times New Roman"/>
        <b/>
        <color theme="1"/>
        <sz val="12.0"/>
      </rPr>
      <t xml:space="preserve"> </t>
    </r>
    <r>
      <rPr>
        <rFont val="Times New Roman"/>
        <color theme="1"/>
        <sz val="12.0"/>
      </rPr>
      <t xml:space="preserve">
70 666 тыс тг, в том числе:
665 тыс тг – по заказу 1101936/2025/7/005 -СКП «Развертывание сети FTTH»». Развертывание сети FTTH_г. Астана. Прокладка ВОЛС до клиента Центра обработки данных АО «Национальные информационные технологии».
67 959 тыс тг - по заказу №1101936/2025/7/002 - СКП «Развертывание сети FTTH»». Развертывание сети FTTH_г. Астана. Строительство сетей телекоммуникаций к жилым комплексам компании "BI Group" г. Астана, 2 очередь"».
2 042 тыс тг - по заказу №1101936/2025/7/002 - СКП «Развертывание сети FTTH»». Развертывание сети FTTH_г. Астана. Строительство сетей телекоммуникаций к жилым комплексам компании "BI Group" г. Астана, 1 очередь"»</t>
    </r>
  </si>
  <si>
    <t xml:space="preserve"> - затраты ДУП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</si>
  <si>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7 944 тыс тг - Содержание ДУП</t>
    </r>
  </si>
  <si>
    <t>I.25.ODS.34.002</t>
  </si>
  <si>
    <t>Лисичкина Л.З.</t>
  </si>
  <si>
    <t>Развертывание сети FTTH_г.Алматы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</si>
  <si>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20 971 тыс тг - материалы
14 807 тыс тг - заработная плата 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</si>
  <si>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Договор №1104100/2025/1 от 07.06.2025 с ТОО "ITStroyService", на сумму 9 821 388 677,76 без НДС
1) Заказ №1104100/2025/1/1 от 20.06.2025 - Кластера (17): топосъемка готова,ПСД утверждены, готовность СМР 68%. 
2) Заказ №1104100/2025/1/2 от 20.06.2025,"BI Group" г.Алматы - 1 оч.- 100% выполнены. Акт приемки подписаны.
3) Заказ №1104100/2025/1/010 от 22.08.2025, ЦОД+резерв ул. Войкова 2А - СМР выполнены на 100%. Объект подключен. Акты приемки подписаны. Передан на баланс ОДС
4) Заказ №1104100/2025/1/011 от 27.08.2025, Демонтаж антенно-мачтового сооружения (АМС) на объекте ОДС ЗС "Кок-Тюбе" по адресу: г.Алматы,ул.Диваева,39 - АМС демонтирована и перевезена 09.09.2025г.  по адресу мкр. Мирас д.25. СМР выполнен на 100%. Акты приемки на согласовании
5) Заказ №1104100/2025/1/012 от 02.09.2025, Прокладка ВОЛС до объекта АО "FORTEBANK" - СМР выполнены на 100%. Готовятся акты приемки
6) Заказ №1104100/2025/1/014 от 10.10.2025, Строительство ВОЛС до Brodskogo координаты 43.282591 76.899914 (Starlink) - СМР выполнены на 100%. Объект подключен. Акт приемки подписаны. Передан на баланс ОДС.
7) Заказ №1104100/2025/1/015 от 09.10.2025, Строительство резервного ВОЛС для Модульного ЦОД АО "Казахтелеком" по адресу г.Алматы, ул. Диваева, 39. Бюджет не был передан от СФ, по данной причине к СМР-у еще не приступили.                                                                                                       8) Заказ №1104100/2025/1/016 от 29.10.2025, “BI Group” г. Алматы, 2 очередь" - по списку 60 % уже подключены, по остальным еще ведутся СМР
9) Заказ №1104100/2025/1/017 от 26.12.2025, Капитальный ремонт здания  по адресу г.Алматы, ул. Диваева, 39 - СМР выполнены на 100%. Объект подключен. Акты приемки в эксплуатацию на согласовании.
10) Заказ №1104100/2025/1/018 от 31.12.2025, Приоритетные ЖК Qazaq Stroy, Rams Kazakhstan и Baiterek - ЖК "Olympic Park" подключен. По остальным 3 объектам готовность СМР 100%. Задержка в подключении со стороны партнеров. 
11) Заказ №1104100/2025/1/019 от 30.01.2026, Переключение линий связи РГП "Дирекция административных зданий администраций президента и правительства РК" Управления делами президента РК по адресу г. Алматы, улица Ганди, 10 - готовность СМР 90%.
12) Заказ 1104100/2025/1/020 от 06.02.2026, Прокладка оптических волокон на участке ЕГ1 (Панфилова 72/74) - Наземная станция Жетиген по проекту Amazon Kuiper - проводятся работы по получению разрешения на ПИР
13) Заказ 1104100/2025/1/022 от "BI Group" г.Алматы 3 очередь - По 6 объектам к СМР приступили, по остальным еще ведутся ПИР.
14) Заказ 1104100/2025/1/023 от 10.03.2026 Кластера 12-20 части, ведутся ПИР-ы
Информация по кластерам: Кластера-1,8,3,2,4,6,12,15,17,18,19,20,21,22 - Ведутся СМР
Кластер-10,11, Коктобе-1,2 - СМР завершен, Акты приемки подписаны. Передан на баланс ОДС.
Кластера-1(Баганашыл),8(Горный гигант),3(Ерменсай),2,(Нурлытау),4(Нур-Алатау),17(Тастак) - СМР завершен, готовится исполнительная документация и акты приемки.
Кластер-9, Думан-1 - СМР завершен на 100%. Подключено 1160 портов. Акты приемки подписаны. Передан на баланс ОДС.    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3 267 тыс тг по договору №1104100/2025/1 от 07.06.2025 с ТОО "ITStroyService" по заказам №1104100/2025/1/1 от 20.06.2025, №1104100/2025/1/016 от 29.10.2025, №1104100/2025/1/1 от 20.06.2025, №1104100/2025/1/1 от 20.06.2025, №1104100/2025/1/1 от 20.06.2025                                                                                                                                                                                                    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</si>
  <si>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24 143 тыс тг - Содержание ДУП</t>
    </r>
  </si>
  <si>
    <t>I.25.ODS.34.003</t>
  </si>
  <si>
    <t>Серикпаева А.Д.</t>
  </si>
  <si>
    <t>Развертывание сети FTTH_Акмолинская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</si>
  <si>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2 234 тыс тг материалы
2 342 тыс тг заработная плата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</si>
  <si>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627 742 940,80 без НДС по заключенному договору №1098000/2025/5 от 12.06.2025 Консорциум в составе АО "Логиком" совместно с ТОО "ОптикСтрой"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 Потребность по ВП занесена и утверждена.
 Дополнительное соглашение на 50% от суммы договора, на согласовании.
 Сумма доп соглашение: 442 391 975,705 тг без НДС, потребность занесена и утверждена в САП.
 Заказ 1098000/2025/5/001 - Кластер 2,3 отправлено. CМР в работе. кластер 3 сдан, кластер 2 на 85% выполнено.
 Заказ 1098000/2025/5/002 - КТЛ. СМР завершен. ИД готовится. 
 Заказ 1098000/2025/5/003:
 кластер 4,7,6,9,12 - ПСД утверждена, кластер 7 сдан,по остальным кластерам СМР в работе, 80% выполнен;
 кластер 1,10,11 - ПСД утверждена, кластер 10 сдан, по остальным кластерам СМР в работе, 80% выполнен.; 
 АТС-42 - , АТС-77 - СМР в работе, 30% выполнен;
 ЖК ,Нац гвардия, Халык банк - СМР в работе, 30% выполнен. 
 Заказ 1098000/2025/5/005 - Выноска муфт №14. СМР в работе.
 Заказ 1098000/2025/5/006 - Строительство ВОЛС для сегмента В2В, Акмолинская область. 2 часть. Заказ отменён и возвращён.
 Заказ 1098000/2025/5/007 - Спорткомплекс. Заказ передан. СМР в работе. 70% выполнен.
 Заказ 1098000/2025/5/008: 
 «Степногорский сернокислотный завод». Заказ передан. ПИР в работе
 «Военный колледж имени Шокана Уалиханова». Заказ передан. ПИР в работе. 
 Заказ 1098000/2025/5/009 - Строительство сети связи для объекта «Mövenpick Hotels &amp; Resorts». Заказ на согласовании.
Объекты ДКБ. Заказ не сформирован и будет реализован в рамках третьего рамочного договора.
"Лесная поляна".Заказ не сформирован и будет реализован в рамках третьего рамочного договора.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</si>
  <si>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5 895 тыс тг - содержание ДУП</t>
    </r>
  </si>
  <si>
    <t>I.25.ODS.34.004</t>
  </si>
  <si>
    <t>Развертывание сети FTTH_Алматинская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</si>
  <si>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130 тыс тг - материалы
908 тыс тг - заработная плата</t>
    </r>
  </si>
  <si>
    <r>
      <rPr>
        <rFont val="Times New Roman"/>
        <b/>
        <color rgb="FF000000"/>
        <sz val="11.0"/>
        <u/>
      </rPr>
      <t>Ход реализации:</t>
    </r>
    <r>
      <rPr>
        <rFont val="Times New Roman"/>
        <color rgb="FF000000"/>
        <sz val="11.0"/>
      </rPr>
      <t xml:space="preserve">
По 8 СНП из 9 были завершены СМР. По  1 СНП ожидается завершение строительства в июне 2026.</t>
    </r>
  </si>
  <si>
    <t xml:space="preserve"> - перенос на СПП A.25.ODS.33.001/01-04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</si>
  <si>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Договор №1119810/2025/5 от 15.07.2025 с ТОО "КАПИТАЛТЕЛЕКОМ" на сумму 835817874,839 без НДС
Заказ 1119810/2025/5/001 - г. Талгар, кластер №1 отправлен.  Готовность СМР 70%. 
Заказ 1119810/2025/5/002 - Строительство ВОЛС к приоритетным ЖК. г. Талгар: ЖК Talhiz Tany, ЖК Talgar City, ЖК Monte Mela Талгар, 
г. Каскелен: ЖК Arnau 2.0
с. Бесагаш: ЖК East Residence - из-за отсутствия доступа передается на исключение. 
Заказ 1119810/2025/5/003 - г.Алатау (пос.Жетыген) - СМР выполнен на 100%. Готовится исполнительная документация и акты примеки.
Заказ 1119810/2025/5/004 - Строительство ВОЛС по ул. с.Туздыбастау, ул.Жылкыбай и Баржыкбаева" - СМР выполнена на 100%. Готовится исполнительная документация и акты приемки.
Заказ 1119810/2025/5/005 - г. Талгар, кластер 2026 - ведутся ПИР.                                                                                                                                                                            Заказ 1119810/2025/5/006 - Прокладка ВОЛС на участке Аксай-Алгабас Жалагаш, до зона отдыха "Кара шаткал" по адресу: Алматинская область, Райымбекский район. Жалагашский СО - ведутся ПИР
Заказ 1119810/2025/5/007 - Строительство ВОЛС до объектов ЦОН_АО НИТ_МЦПС Алматинской области - ведутся ПИР</t>
    </r>
  </si>
  <si>
    <t>I.25.ODS.34.005</t>
  </si>
  <si>
    <t>Бекназарова С.Е.</t>
  </si>
  <si>
    <t>Развертывание сети FTTH_Абайская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</si>
  <si>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1 629 тыс тг материалы
2 820 тыс тг заработная плата</t>
    </r>
  </si>
  <si>
    <r>
      <rPr>
        <rFont val="Times New Roman"/>
        <b/>
        <color theme="1"/>
        <sz val="12.0"/>
      </rPr>
      <t>Ход реализации:</t>
    </r>
    <r>
      <rPr>
        <rFont val="Times New Roman"/>
        <color theme="1"/>
        <sz val="12.0"/>
      </rPr>
      <t xml:space="preserve">
СМР подходит к концу, ожидается завершение строительства до конца июня 2026
</t>
    </r>
    <r>
      <rPr>
        <rFont val="Times New Roman"/>
        <b/>
        <color rgb="FF000000"/>
        <sz val="12.0"/>
        <u/>
      </rPr>
      <t xml:space="preserve">
Освоено:</t>
    </r>
    <r>
      <rPr>
        <rFont val="Times New Roman"/>
        <color rgb="FF000000"/>
        <sz val="12.0"/>
      </rPr>
      <t xml:space="preserve">
957 тыс тг - командировка
10 991 тыс тг материалы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</si>
  <si>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373 316 404,66 без НДС Договор №1119810/2025/1 от 09.07.2025 с ТОО "ALTA Telecom"
</t>
    </r>
    <r>
      <rPr>
        <rFont val="Times New Roman"/>
        <b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 xml:space="preserve">Ход реализации:
</t>
    </r>
    <r>
      <rPr>
        <rFont val="Times New Roman"/>
        <color theme="1"/>
        <sz val="12.0"/>
        <u/>
      </rPr>
      <t xml:space="preserve">ДС на 16% договор заключен  от 16.02.26г                              
Договор №1119810/2025/1 от 09.07.2025  с ТОО "ALTA Telecom"
ВП:-373 316 тыс тенге 
Дополнительное соглашение на НДС 16% заключен от 16.02.2026г     
Дополнительное соглашение № 1119810/2026/1-2 заключено, на сумму 426 103 тыс.тенге 
Дополнительно направлены заказ №1119810/2025/1/002 от 02.03.2026 на ПИР( 8728 портов) и на СМР+ПИР №1119810/2025/1/003 от 23.02.2026( МЖС на 725 портов); 
Заказ №1101936/2025/1/001-01 от 08.08.2025: 
Кластер № 14- СМР Начат, Магистральный кабель - 6781 из 6 781 Распределительный кабел ВЛС 20 000 из 20 000 - Установлено муфты - 23 из 41 - Установлено ОРК – 198 из 296 - Установлено ж/б опор 75шт из 75шт
Кластер №2 -СМР завершен порты переданы пос.Восточный
Кластер №16 - СМР Начат, Магистральный кабель - 3500 из 3 500 Распределительный кабель – 11 000 из 29 810  Установлено муфты 8 из 23  Установлено ОРК - 40 из 128 Установлено ж/б опор 0 из 26. В связи с сносом домов на Ауезова выполнялись демонтажные работы по кабелю и ПЭ трубе
Кластер №7,8 –  ПСД утвердили, закуп материалов.
Кластер№21 СМР Завершены, процесс передачи портов, пос.Водный-712 портов март
Кластер№22 - СМР завершен порты переданы пос.Восход за февраль 648 портов (15.02.26) + 40 портов за Март.
 Кластер№2  пос Восточный  664 порта  за март .
МЖС -44 дома из них:   33 домам СМР частично завершены, 9 завершены домов  завершены переданы порты, по 12  домам доступ отрабатывается, 8 - дома на стадии строительства. 
Халык банк - в работе.
ул.Физкультурная, 4а (ЖК Citeco Star) - отрабатывается вопрос с доступом.       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</si>
  <si>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1 239 тыс тг - содержание ДУП</t>
    </r>
  </si>
  <si>
    <t>I.25.ODS.34.006</t>
  </si>
  <si>
    <t>Актаев Е.М.</t>
  </si>
  <si>
    <t>Развертывание сети FTTH_Актюбинская область</t>
  </si>
  <si>
    <r>
      <rPr>
        <rFont val="Times New Roman"/>
        <b/>
        <color theme="1"/>
        <sz val="12.0"/>
        <u/>
      </rPr>
      <t xml:space="preserve">Освоение: </t>
    </r>
    <r>
      <rPr>
        <rFont val="Times New Roman"/>
        <color theme="1"/>
        <sz val="12.0"/>
      </rPr>
      <t xml:space="preserve">
813 тыс тг - материалы 
2 293 тыс тг - заработная плата</t>
    </r>
  </si>
  <si>
    <r>
      <rPr>
        <rFont val="Times New Roman"/>
        <b/>
        <color theme="1"/>
        <sz val="12.0"/>
        <u/>
      </rPr>
      <t xml:space="preserve">Освоение: </t>
    </r>
    <r>
      <rPr>
        <rFont val="Times New Roman"/>
        <color theme="1"/>
        <sz val="12.0"/>
      </rPr>
      <t xml:space="preserve">
156 тыс тг командировка 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</si>
  <si>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Из 2 СНП у 1 СМР закончен. Ожидается полное завершение СМР до конца июня 2026</t>
    </r>
    <r>
      <rPr>
        <rFont val="Times New Roman"/>
        <b/>
        <color theme="1"/>
        <sz val="12.0"/>
        <u/>
      </rPr>
      <t xml:space="preserve">
Освоение: </t>
    </r>
    <r>
      <rPr>
        <rFont val="Times New Roman"/>
        <color theme="1"/>
        <sz val="12.0"/>
      </rPr>
      <t xml:space="preserve">
489 тыс тг командировка 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</si>
  <si>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</rPr>
      <t xml:space="preserve">
Передано СЗ от 03.02.2026 в ДПФ на сумму 586 936 473,66 без НДС по заключенному договору №1098000/2025/4 от 12.06.2025 с ТОО «International Trade Company "Eurasia Invest"»
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b/>
        <color theme="1"/>
        <sz val="12.0"/>
      </rPr>
      <t xml:space="preserve">
</t>
    </r>
    <r>
      <rPr>
        <rFont val="Times New Roman"/>
        <color theme="1"/>
        <sz val="12.0"/>
      </rPr>
      <t xml:space="preserve">1. Заказ №1098000/2025/4/001 от 14.07.2025  ПСД – утвержден, Магистральный кабель проложен на 100%,  Распределительный кабель проложен на 85% , Сварочные работы проведены на 60%
2. Заказ №1098000/2025/4/004 от 25.12.2025 Два ГНБ из трех выполнен 
3. Заказ №1098000/2025/4/002 от 01.08.2025 Проводится ПИР
4. Заказ №1098000/2025/4/005 от 18.02.2026 Проводится ПИР
5. Заказ №1098000/2025/4/004 от 06.04.2026 Проводится ПИР 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25 824 тыс тг по заказу № 1098000/2025/4/001 от 14.07.2025 по договору №1098000/2025/4 от 12.06.2025 с ТОО «International Trade Company "Eurasia Invest"»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</si>
  <si>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5 658 тыс тг - содержание ДУП</t>
    </r>
  </si>
  <si>
    <t>I.25.ODS.34.007</t>
  </si>
  <si>
    <t>Развертывание сети FTTH_Атырауская область</t>
  </si>
  <si>
    <r>
      <rPr>
        <rFont val="Times New Roman"/>
        <color theme="1"/>
        <sz val="12.0"/>
        <u/>
      </rPr>
      <t>Освоение:</t>
    </r>
    <r>
      <rPr>
        <rFont val="Times New Roman"/>
        <color theme="1"/>
        <sz val="12.0"/>
      </rPr>
      <t xml:space="preserve">
1 098 тыс тг материалы
1 507 тыс тг заработная плата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</si>
  <si>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 xml:space="preserve">Из 2 СНП у 1 СМР закончен. Ожидается полное завершение СМР до конца июня 2026
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1 276 тыс тг материалы
2 127 тыс тг заработная плата
4 195 тыс тг командировка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</si>
  <si>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Заказ № 1101936/2025/5/001 от 20.06.2025 - Кластер 1,7,8,9 - ПСД не утвержден, СМР выполнен на 41%
Заказ № 1101936/2025/5/006 от 13.08.2025 – Строительство сетей телекоммуникаций к жилым комплексам компании “BI Group” на 2025 год. г.Атырау(10_ЖК) - ПСД готовится на экспертизу, СМР выполнен на 90%
2-1. Заказ № 1101936/2025/5/006-01 от 03.02.2026 - Строительство сетей телекоммуникаций к жилым комплексам компании “BI Group” на 2025 год. г.Атырау(5_ЖК) - ПСД на согласований, СМР выполнен на 50%
Заказ № 1101936/2025/5/002 от 01.07.2025 - Строительство ВОЛС для СЭЗ «Национальный индустриальный нефтехимический технопарк» (Карабатан) - ПСД в работе
Заказ № 1101936/2025/5/007 от 02.09.2025 - Вынос ВОЛС из вахтового поселка Шанырак - ПСД в работе
Заказ № 1101936/2025/5/008 от 16.02.2026 - Строительство ВОЛС клиенту В2В ТОО "CCIC" -  ПСД в работе
Заказ № 1101936/2025/5/004 от 10.07.2025 - Развитие сети ВОЛС до клиентов B2B/B2G, 2 очередь - ПСД в работе
Заказ № 1101936/2025/5/005 от 10.07.2025 - Развитие сети ВОЛС до клиентов B2B/B2G, 4 очередь - ПСД не утвержден, СМР выполнен на 70%
Заказ № 1101936/2025/5/003 от 10.07.2025 - Строительство ВОЛС для сегмента В2В - ПСД не утвержден, СМР выполнен на 100%
Заказ №1101936/2025/5/009 от 19.02.2026 - Кластер №2, 3, 4, 17, 21, 22, 5, 6, 10, 11, 12, 15, 19, 20 - ПСД в работе          
Заказ № 1101936/2025/010 от 02.04.2026 - Строительство каналов связи до базовых станций 5G мобильных операторов - ПСД в работе</t>
    </r>
  </si>
  <si>
    <t>I.25.ODS.34.008</t>
  </si>
  <si>
    <t>Развертывание сети FTTH_Восточно-Казахстанская область</t>
  </si>
  <si>
    <r>
      <rPr>
        <rFont val="Times New Roman"/>
        <color theme="1"/>
        <sz val="12.0"/>
        <u/>
      </rPr>
      <t>Освоение:</t>
    </r>
    <r>
      <rPr>
        <rFont val="Times New Roman"/>
        <color theme="1"/>
        <sz val="12.0"/>
      </rPr>
      <t xml:space="preserve">
1 980 тыс тг материалы
1 570 тыс тг заработная плата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</si>
  <si>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По данному региону проводится СМР, завершен на 60 процентов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1 275 тыс тг командировка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</si>
  <si>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695 077 518,38 тенге без НДС по заключенному договору  1101936/2025/1 от 24.06.25 с ТОО "Data Centre Solutions"
</t>
    </r>
    <r>
      <rPr>
        <rFont val="Times New Roman"/>
        <b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b/>
        <color theme="1"/>
        <sz val="12.0"/>
        <u/>
      </rPr>
      <t xml:space="preserve">
</t>
    </r>
    <r>
      <rPr>
        <rFont val="Times New Roman"/>
        <color theme="1"/>
        <sz val="12.0"/>
        <u/>
      </rPr>
      <t>Дополнительное соглашение на НДС 16% заключено 16.02.2026г
Заказ №1101936/2025/1/001-01 от 08.08.2025: 
 г.Усть -Каменогорск: Кластер №11 ,1,4,6,3,9,2,10 (2930 портов),  Магисталь проложена 100%, распред. Часть – частично на 60-70%. По г. Усть-Каменогорск выполненны контрольные измерения и внесении  данных о построенных сетях связи в базы данных технического учета, для подключения/переключения абонентов по ниже перечисленным объектам. Кластер №1 п.Ульбинский, п.Куленовка смр завершены и пераданы порты в количестве 592 портов. Также переданы порты по ЗНК г. Усть-Каменогорск, проспект Ильяса Есенберлина, 80 в количестве 48 портов.
г Риддер Кластер №2 (3910), по г. Риддер ОМсп 40-026 в ПСУ 40-710 - 432 порта и ОРШ-1 смр завершены и переданы порты в количестве - 600 портов.
Халык банки 14 шт из них направлено СЗ на протокол на исключение 4 объектов, по остальным выдутся СМР работы. 
По 4 ЖК (3 исключены протоколом) в 1 ЖК притупил с 09.02.2026, CMP завершены порты переданны 30.04.2026г.
По 25 ГУ ( 16 исключены протоколом 4 замена  ) по остальным выдутся СМР работы.
Заказ №1101936/2025/1/003 от 22.10.2025:
г.Усть -Каменогорск (10ГУ В2В Объекты 1 исключен ) СМР завершены   АПК на подпписании. Планируется заключение третьего рамочного договора ЛОТ № 13 (9 Р, 4406780)
Заказ №1101936/2025/1/002 от 20.02.2026 по ПИР направлен подрядчику 18.03.26г. У-Ка(2530 потртов) Риддер(2785 портов) 
Заказ №1101936/2025/1/004 от 23.02.2026; по МЖД-14 домов ( СМР+ПИР) (1320 потрв )-направлен подрядчику 17.03.06  на стадии ПИР.
Готовятся заказы ( ГУ) на оставшуюся сумму по договору на стадии  подготовки ТУ в ОДС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</si>
  <si>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1 505 тыс тг содержание ДУП</t>
    </r>
  </si>
  <si>
    <t>I.25.ODS.34.009</t>
  </si>
  <si>
    <t>Тастанкулов О.К.</t>
  </si>
  <si>
    <t>Развертывание сети FTTH_Жамбылская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</si>
  <si>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1 041 тыс тг материалы
1 393 тыс тг заработная плата</t>
    </r>
  </si>
  <si>
    <r>
      <rPr>
        <rFont val="Times New Roman"/>
        <b/>
        <color rgb="FF000000"/>
        <sz val="11.0"/>
        <u/>
      </rPr>
      <t>Ход реализации:</t>
    </r>
    <r>
      <rPr>
        <rFont val="Times New Roman"/>
        <color rgb="FF000000"/>
        <sz val="11.0"/>
      </rPr>
      <t xml:space="preserve">
 СМР завершен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</si>
  <si>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1 524 810 412,11 без НДС по заключенному договору №1101936/2025/3/1 от 26.06.2025 с ТОО "Data Centre Solutions"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Заказ  №1101936/2025/3/001 от 05.06.2025 - Кластера (1, 5): 
 Кластер 1, 1 очередь (2168 портов): ПСД утверждена, СМР завершены. ОРШ-463-01 мкр. Сулутор (896 портов) сдан СЗ 30.03.2026 г, ОРШ-463-03 Дальная Карасу (1304 порта) сдан 30.04.2026 г. Готовиться исполнительная документация.
 Кластер 1, 2 очередь (2000 портов): ПСД разрабатывается, СМР в работе, выполнены на 77,68%, ожидаемая дата сдачи 30.06.2026 г
 Кластер 1, 3 очередь (2000 портов): ПСД разрабатывается, СМР в работе, выполнены на 50%, ожидаемая дата сдачи 30.07.2026 г
Кластер 5, 1 очередь (1536 портов): ПСД утверждена, СМР завершены. ОРШ-42/07 (488 портов) сдан СЗ 27.02.2026, ОРШ-34/19  Хим поселок (1048 портов) сдан СЗ от 29.05.2026.  Готовиться исполнительная документация.
 Кластер 5, 2 очередь (1470 портов): ПСД разрабатывается, СМР в работе, выполнены на 75%, ожидаемая дата сдачи 30.07.2026 г
 Кластер 5, 3 очередь(1468 портов): ПСД разрабатывается, СМР в работе, выполнены на 41,5%
 Заказ № 1101936/2025/3/002 от 19.09.2025 , Халык банк (11 точек): 1 объект г. Тараз, пр. Жамбыла 145 исключен (имеется ВОЛС), 10 объектов- СМР физически объем выполнен, ПСД утверждена приказ №81 от 29.04.2026 г. Готовиться исполнительная документация
 Заказ № 1101936/2025/3/005 от 10.11.2025 г. МЖС, 1 очередь (486 портов 12 домов) – проводятся ПИР, СМР в работе, выполнены на 50%
 Заказ № 1101936/2025/3/003 от 12.01.2026 г. МЖС, 2 очередь (5068 портов, 236 домов) – заказ передан подрядчику, проводятся ПИР
 Заказ №1101936/2025/3/004 от 25.02.2026 г ПИР г. Тараз кластера (2, 3, 4) (7660 портов, 15 клиентов B2B/B2G) передан подрядчику исх. № 19-04.4-03/533 от 20.03.2026 г
 Прокладка ВОЛС до клиентов B2B/B2G 2 часть – согласование списка объектов (116 точек). Нет бюджета.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7 735 тыс тг по  заказу № 1101936/2025/3/002 от 19.09.2025 по договору №1101936/2025/3/1 от 26.06.2025 с ТОО "Data Centre Solutions"</t>
    </r>
  </si>
  <si>
    <t>I.25.ODS.34.010</t>
  </si>
  <si>
    <t>Развертывание сети FTTH_Жетысуская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</si>
  <si>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1 670 тыс тг материалы
1 239 тыс тг заработная плата</t>
    </r>
  </si>
  <si>
    <r>
      <rPr>
        <rFont val="Times New Roman"/>
        <b/>
        <color rgb="FF000000"/>
        <sz val="11.0"/>
        <u/>
      </rPr>
      <t>Хд реализации:</t>
    </r>
    <r>
      <rPr>
        <rFont val="Times New Roman"/>
        <color rgb="FF000000"/>
        <sz val="11.0"/>
      </rPr>
      <t xml:space="preserve">
По 8 СНП из 9 были завершены СМР. По  1 СНП ожидается завершение строительства в июне 2026.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</si>
  <si>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Договор №1101936/2025/4 от 05.06.2025 с ТОО "5А Engineering" на сумму 1626602411,535 без НДС
Заказ №1101936/2025/4/1 от 20.06.2025 Жетысуйская область, г. Талдыкорган, кластера-1,4,5 - готовность СМР 60%.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</si>
  <si>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11 052 тыс тг - содержание ДУП</t>
    </r>
  </si>
  <si>
    <t>I.25.ODS.34.011</t>
  </si>
  <si>
    <t>Развертывание сети FTTH_Западно-Казахстанская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</si>
  <si>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3 016 тыс тг материалы
2 091 тыс тг заработная плата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</si>
  <si>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579 тыс тг командировочные расходы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</si>
  <si>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По данному региону СМР закончен на 74 процентов.</t>
    </r>
    <r>
      <rPr>
        <rFont val="Times New Roman"/>
        <b/>
        <color theme="1"/>
        <sz val="12.0"/>
        <u/>
      </rPr>
      <t xml:space="preserve">
Освоено:
</t>
    </r>
    <r>
      <rPr>
        <rFont val="Times New Roman"/>
        <color theme="1"/>
        <sz val="12.0"/>
        <u/>
      </rPr>
      <t>1 281 тыс тг командировка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</si>
  <si>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г.Уральск
по заключенному договору  1119810/2025/4 от 15.07.2025  с ТОО "Найлим Компани"
ВП: сумма 390 707тыс. тенге без НДС. Заключено ДС от 10.02.2026 на сумму 452 661 тыс тенге без НДС на 16%.
1) Заказ №1119810/2025/4/001 от 17.07.2025 Развертывание сети FTTH_ Западно-Казахстанская область. г.Уральск, кластер 1, 4, 8, 10: 
г.Уральск Кластер №1 - СМР 100%,идет стадия приемки. ПСД утвержден;
Кластер №4 - СМР 100% ПСД утвержден;     
Кластер №8 - СМР не начат, проект на экспертизе; Кластер №10 - - СМР не начат, проект на экспертизе
2) Заказ №1119810/2025/4/002 от 19.02.2026 Проектно-изыскательские работы по объекту «Стратегический комплексный проект «Развертывание сети FTTH». Развертывание сети FTTH_Западно-Казахстанская область. г.Уральск, кластер "№6, 9, 14, 15, 20, 22, 25, 26, 27, 28, 29, 30, 32, 101, 104, 106, 109, 110, 111, 112, 113, 114, 115, 116, 117", кластер "№11, 12, 17, 21, 23, 24, 102, 103, 105, 107, 108,  118": Проводится ПИР                       
3) Заказ №1119810/2025/4/003 от 06.04.2026 Строительство каналов связи до БС 5G мобильных операторов: Проводится ПИР  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</si>
  <si>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2 436 тыс тг Содержание ДУП</t>
    </r>
  </si>
  <si>
    <t>I.25.ODS.34.012</t>
  </si>
  <si>
    <t>Субботина Е.А.</t>
  </si>
  <si>
    <t>Развертывание сети FTTH_Карагандинская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</si>
  <si>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1 084</t>
    </r>
    <r>
      <rPr>
        <rFont val="Times New Roman"/>
        <color theme="1"/>
        <sz val="12.0"/>
        <u/>
      </rPr>
      <t xml:space="preserve"> </t>
    </r>
    <r>
      <rPr>
        <rFont val="Times New Roman"/>
        <color theme="1"/>
        <sz val="12.0"/>
        <u/>
      </rPr>
      <t>тыс тг материалы
2 021 тыс тг заработная плата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</si>
  <si>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1 460 521 668,06 без НДС по заключенному договору №1098000/2025/1 от 05.06.2025 с Консорциумом в составе ТОО «Kazakhstan Invest Stroy» совместно с ТОО "AsiArt".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Потребность по ВП занесена и утверждена.
Заключено дополнительное соглашение на  сумму 1 818 347 690,18 тенге без НДС.
1) заказ №1098000/2025/1/1/001 от 29.07.2025 .  
Караганда часть 1: 
кластер №4-СМР в работе (выполнено 90%)
ЦОД-СМР в работе (выполнено 75%)
Аэропорт Балхаш-СМР завершены (100%),  ИД предоставлена, акт приемки не подписан
4 МЖК-СМР в работе (выполнено 30%)
Караганда часть 2: 
кластер №2,№11,1 МЖК,1 ГУ\ГО-ПСД вневедомственная экспертиза получена, приказ на утверждение ПСД в работе
Караганда часть 3:
кластер №3,10-ПИР в работе
Караганда часть 4:
Прокладка ВОЛС до объектов Халык банк, КУИС и Нац гвардии - ПИР в работе.
2) заказ №1098000/2025/1/1/002 от 16.10.2025 – Успенка-Агадырь отправлено.  
Караганда Успенка-Агадырь - СМР завершены (100%), ИД предоставлена,  не подписан акт приемки 
3) заказ №1098000/2025/1/1/003 от 18.11.2025 – Карамыс  
 СМР завершены (100%), ИД предоставлена,  не подписан акт приемки
4) Выданы заказы по разработке ПСД по кластерам 1,12,17,8,9,13,14,5,6,7,16,18,19 (2026 год)
5) освоение на 04.05.2026 составляет 236 914 147,65 тенге без НДС</t>
    </r>
  </si>
  <si>
    <t>I.25.ODS.34.013</t>
  </si>
  <si>
    <t>Развертывание сети FTTH_Костанайская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</si>
  <si>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1 701 тыс тг материалы
2 228 тыс тг заработная плата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</si>
  <si>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121 тыс тг - командировка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</si>
  <si>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1 122 214 456,69 без НДС по заключенному договору №1098000/2025/2 11.06.2025 с ТОО «ACRIS»
</t>
    </r>
    <r>
      <rPr>
        <rFont val="Times New Roman"/>
        <b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b/>
        <color theme="1"/>
        <sz val="12.0"/>
        <u/>
      </rPr>
      <t xml:space="preserve">
</t>
    </r>
    <r>
      <rPr>
        <rFont val="Times New Roman"/>
        <color theme="1"/>
        <sz val="12.0"/>
        <u/>
      </rPr>
      <t>Заказ 1098000/2025/2/001-01 передан подрядчику:
Костанай Кластер №1 - СМР завершен на 100% (Идут измерения со стороны ДЭСД)
Костанай Кластер №8 - СМР завершен на 100% идут работы по заземлению.
Костанай Кластер №7 - СМР завершен на 60%.
Рудный Кластер №3 - СМР завершен на 70% (Дальше ведется строительство).
мкр.Байтерек "Астана" - СМР завершены. Устраняются замечания.
Прокладка ВОЛС до объектов Халык банк, КУИС и Нац гвардии - ПИР в работе (Без изменении).
ЖК Свободный, ЖК Riviera, ЖК Life Park, ЖК Тауелсиздик-2 - исключили протоколом.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</si>
  <si>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5 228 тыс тг Содержание ДУП</t>
    </r>
  </si>
  <si>
    <t>I.25.ODS.34.014</t>
  </si>
  <si>
    <t>Развертывание сети FTTH_Кызылординская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</si>
  <si>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585 тыс тг материалы
2 454 тыс тг заработная плата</t>
    </r>
  </si>
  <si>
    <t xml:space="preserve"> 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</si>
  <si>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сумма 1 313 969 260,45 без НДС по заключенному договору №1101936/2025/6 от 07.06.2025г.с ТОО "Data Centre Solutions"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Заказ  №1101936/2025/6/001 от 06.08.2025 – 7 Кластеров (1, 3, 4, 6, 7, 9, 12):
По 1 кластеру (760 портов) - СМР завершены. Получено заключение вневедомственной экспертизы. ПСД утверждена приказом № 47 от 25.02.2026г. Исполнительные схемы переданы в СТУиП
 По 3 кластеру (1144 порта)- СМР завершены. Получено заключение вневедомственной экспертизы ПСД утверждена приказом № 47 от 25.02.2026г. Сдано 136 портов СЗ от 27.02.2026, 1008 портов СЗ от 27.03.2026 г. Готовиться пакет исполнительной документации.
 По 4 кластеру (736 портов) – СМР завершены.  Получено заключение вневедомственной экспертизы ПСД. ПСД утверждена приказом № 47 от 25.02.2026г.  Готовиться пакет исполнительной документации.
 По 6 кластеру (1864 порта) – СМР в работе. Магистраль выполнена на 100%, распределительная сеть  выполнена на 88,35% Получено заключение вневедомственной экспертизы ПСД. ПСД утверждена приказом № 44 от 25.02.2026г. Прогнозируемая дата завершения СМР до 30.06.2026г.
 По 7 кластеру (984 порта) - СМР завершены. Получено заключение вневедомственной экспертизы ПСД. ПСД утверждена приказом № 44 от 25.02.2026г. Сдано 944 порта СЗ от 27.02.2026. Готовиться пакет исполнительной документации
 По 9 кластеру (3192 порта)– СМР в работе. Магистраль выполнена на 100%, распределительная сеть выполнена на 70,32%. Работы на магистральной части завершены. Получено заключение вневедомственной экспертизы. Приказ об утверждении ПСД на согласовании. Прогнозируемая дата завершения СМР до 01.06.2026г.
 По 12 кластеру (1384 порта)– СМР в работе. Магистраль выполнена на 100%, распределительная сеть выполнена на 85% Получено заключение вневедомственной экспертизы. Приказ об утверждении ПСД на согласовании. Сдано 928 портов СЗ от 27.02.2026. Прогнозируемая дата завершения СМР (456 портов) до 31.05.2026г. 
 Заказ №1101936/2025/2/002 от 03.11.2025, Халык банк (7 точек) и РГП на ПХВ «Национальный центр тестирования». РГП на ПХВ «Национальный центр тестирования» - СМР завершены СЗ от 06.04.2026 г. По Халык банк ожидается сдача 31.05.2026 г
 Заказ №1101936/2025/6/003 от 20.02.2026 г, ПИР г. Кызылорда кластера (2, 5, 8, 10, 11, 13, 14, 15) передан подрядчику исх 19-04.4-03/474 от 13.03.2026 г. ПИР - в работе
 Заказ от 04.03.2026 №1101936/2025/6/004 по объекту «Стратегический комплексный проект «Развертывание сети FTTH»». Развертывание сети FTTH_Кызылординская область. г.Кызылорда. МЖС, 1-очередь Передан подрядчику исх 19-04.4-03/625 от 08.04.2026 г
 Заказ от 30.03.2026 №1101936/2025/6/005 по объекту «Стратегический комплексный проект «Развертывание сети FTTH»». Развертывание сети FTTH_Кызылординская область. Строительство каналов связи до базовых станций 5G мобильных операторов. Передан подрядчику исх 19-04.4-03/635 от 09.04.2026 г. ТУ получены. ПИР в работе
 Прокладка ВОЛС до клиентов B2B/B2G 2 часть – согласование списка объектов (243 точки). Нет бюджета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</si>
  <si>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970 тыс тг Содержание ДУП</t>
    </r>
  </si>
  <si>
    <t>I.25.ODS.34.015</t>
  </si>
  <si>
    <t>Развертывание сети FTTH_Мангистауская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</si>
  <si>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1 992 тыс тг материалы
2 038 тыс тг заработная плата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</si>
  <si>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415 тыс тг командировка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</si>
  <si>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по заключенному договору №1104100/2025/1 от 07.06.2025   с ТОО «ITStroyService»  
Заключено ДС от 30.03.2026 на сумму 901 805 тг без НДС на 16%
Заказ 1104100/2025/1/002 от 01.07.2025 ПИР для строительства резервной ВОЛС Шалкар-Актау с ответвлениями на 6 (шесть) нефтяных месторождений: ПСД готова на 90%, ЗУП -50%
Заказ 1104100/2025/1/003 от 11.07.2025 Строительство ВОЛС для сегмента В2В: ПСД утвержден, СМР выполнен на 100%, Идет сдача ИТД
Заказ 1104100/2025/1/004 от 07.08.2025 Строительство ВОЛС к приоритетным ЖК в г.Актау: ПСД утвержден, СМР выполнен на 100%, Идет сдача ИТД
Заказ 1104100/2025/1/006 от 05.11.2025 Прокладка ВОЛС к ЖК "Aktau Riviera" BI Group»: ПСД в экпертизе, СМР выполнен на 100%
Заказ 1104100/2025/1/007 от 20.10.2025 Прокладка ВОЛС к объектам Халык банк, Форте банк, КУИС: ПСД в работе, СМР выполнен на 80%, 
Заказ 1104100/2025/1/010 от 19.02.2026  Развертывание сети FTTH_Мангистауская область. г.Актау, кластер №1, 2, 3, 4, 5: проводится ПИР
Заказ 1104100/2025/1/011 от 31.03.2026 Строительство каналов связи до БС 5G мобильных операторов»: проводится ПИР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</si>
  <si>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2 192 тыс тг - Содержание ДУП</t>
    </r>
  </si>
  <si>
    <t>I.25.ODS.34.016</t>
  </si>
  <si>
    <t>Развертывание сети FTTH_Павлодарская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</si>
  <si>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2 869 тыс тг материалы
3 159 тыс тг заработная плата</t>
    </r>
  </si>
  <si>
    <r>
      <rPr>
        <rFont val="Times New Roman"/>
        <b/>
        <color theme="1"/>
        <sz val="12.0"/>
        <u/>
      </rPr>
      <t>Ход релизации: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СМР закончен на  100%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4 722 тыс тг материалы
1 099 тыс тг командировка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</si>
  <si>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ДС на 16% договор заключен  от 16.02.26г                            
Договор № 1119810/2025/3 от 09.07.2025  с ТОО «Energy Construction Engineering»
Будет дополнительное соглашение на  50% от суммы, запланирована потребность на сумму 285 340,09 тыс.тенге на стадии утверждения, Дополнительно направлены заказ №1119810/2025/3/002 от 02.03.2026 на ПИР( 10611 портов) и на ПИР №1119810/2025/3/003 от 23.02.2026( 3 МЖС на 241 портов); 
Заказ №1119810/2025/3/001 от 06.08.2025, на 7082 порта, 3 кластера, 1 мжк  
Кластер № 1- 2264 порта, Монтаж муфт выполнен на три учатска 100%, на остальные 60%.Протяжка выполнена на 2 участка 100%, на остальные на 70%.Установка ОРК из 283 установлено 75. Выполненны контрольные измерения  смр завершены и порты переданы для внесения  данных о построенных сетях связи в базы данных технического учета в количестве 696 портов.
Кластер №2 - 2872 порта. Монтаж муфт выполнен 55%, Протяжка кабеля выполнена на 60 %, Установка ОРК -20 шт. Выполненны контрольные измерения  смр завершены и порты переданы для внесения  данных о построенных сетях связи в базы данных технического учета в количестве 840 портов.
Кластер №3 -2030 портов, Монтаж муфт выполнен на 1 участок на 100%, остальные на 60%. Протяжка кабеля 1 участок на 100% остальные на 90%, Установка ОРК - 1 участок на 100%. Выполненны контрольные измерения  смр завершены и порты переданы для внесения  данных о построенных сетях связи в базы данных технического учета в количестве 72 порта.
 ул. Аезова, 101 (ЖК Дастур) - выполнены работы по протяжке кабелы, ведутся работа по установке ОРК.
№1119810/2025/3/002 от 02.03.2026 на ПИР( 10611 портов) г. Павлодар
Кластер №5 - отправлены заказы на ПИР
Кластер №11 -отправлены заказы на ПИР
Кластер №3 - отправлены заказы на ПИР
Кластер №101 -отправлены заказы на ПИР         
№1119810/2025/3/002 от 02.03.2026 на ПИР (241 портов) 3 МЖК г. Павлодар
3 дома - отправлен заказ на ПИР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84 390 тыс тг по заказу №1119810/2025/3/001 от 06.08.2025 договор № 1119810/2025/3 от 09.07.2025 с ТОО «Energy Construction Engineering»
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</si>
  <si>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6 217 тыс тг - Содержание ДУП</t>
    </r>
  </si>
  <si>
    <t>I.25.ODS.34.017</t>
  </si>
  <si>
    <t>Развертывание сети FTTH_Северо-Казахстанская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</si>
  <si>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2 765 тыс тг материалы
1 389 тыс тг заработная плата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</si>
  <si>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5 076 тыс тг материалы
4 585 тыс тг заработная плата
779 тыс тг командировка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</si>
  <si>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434 143 652,05 без НДС по заключенному договору №1098000/2025/3 от 11.06.2025 с ТОО "КОНТАКТ LTD"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Заказ 1098000/2025/3/001 переданы подрядчику:
Кластера 1 СМР завершен на 80% , Кластер 2 - 0% (Работы не начаты). ПСД утверждено.
Кластер 7,9 -СМР в работе, выполнено только на 20% по обоим кластерам. ПСД приказ есть.
Прокладка ВОЛС до объектов B2G - ПИР в работе.
Прокладка ВОЛС до объектов "Халык банка", КУИС и Нац.гвардии" - ПИР в работе.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</si>
  <si>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200 тыс тг - Содержание ДУП</t>
    </r>
  </si>
  <si>
    <t>I.25.ODS.34.018</t>
  </si>
  <si>
    <t>Развертывание сети FTTH_Туркестанская область</t>
  </si>
  <si>
    <r>
      <rPr>
        <rFont val="Times New Roman"/>
        <b/>
        <color theme="1"/>
        <sz val="12.0"/>
        <u/>
      </rPr>
      <t>Освоение: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1 789 тыс тенге материалы 
526 тыс тг заработная плата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</si>
  <si>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9 723 тыс тг - материалы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</si>
  <si>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По данному региону СМР завершен на 50%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-1 - корректировка заработной платы 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</si>
  <si>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488 896 620.14 без НДС по заключенному договору  №1119810/2025/2 от 09.07.2025 г.
</t>
    </r>
    <r>
      <rPr>
        <rFont val="Times New Roman"/>
        <b/>
        <color theme="1"/>
        <sz val="12.0"/>
        <u/>
      </rPr>
      <t xml:space="preserve">Ход реализации: </t>
    </r>
    <r>
      <rPr>
        <rFont val="Times New Roman"/>
        <color theme="1"/>
        <sz val="12.0"/>
        <u/>
      </rPr>
      <t xml:space="preserve">
Заключено ДС № 1119810/2025/2-2 от 22.04.2026г. к договору № 1119810/2025/2 от 09.07.2025г. по Туркестанской области сумма 745157424,56 без НДС, заключенного с  Консорциумом в составе ТОО "Техно-Экспо" совместно с ТОО "KazStroyProekt", АО "Алматытелефонстрой", ТОО "NК BUILDING". 
Заказ №1119810/2025/2/001-01 от 11.08.2025г.; передан подрядчику,Срок до 04.07.2026г.
Подрядная организация: Консорциум в составе ТОО "Техно-Экспо" совместно с ТОО "KazStroyProekt", АО "Алматытелефонстрой", ТОО "NК BUILDING".  
Текущий статус - "ПИР и СМР  завершен"
Выполнено по проекту: 
по участке "АТС Бирлик". по проекту количество портов - 320, по факту - 336 порта.
Исполнительная схема передано в ДЭСД. Введутся работы по преключению абонентов. 
СЗ о завершении СМР от 10.02.26. 
Обьект завершен.
Всего - 2456 портов (3508 домохозяйств (ИЖС).
на участок МЖК 45 домов.
Прокладка распределительной сети по сущ.телефонной канализации - 1,3 км из 1,3 км - 100%;
по объектам организаций "Достык" (Прокладка распределительной сети по сущ.телефонной канализации - 350 м из 350м ), 
"Корейский университет" (Прокладка распределительной сети по сущ.телефонной канализации -1,6 км из 1,6 км);
"Спорткомплекс им.Б.Саттарханова" (Прокладка распределительной сети по сущ.телефонной канализации - 1,6 км из 1,6 км)
Физически строительство обьектов завершено - 100%.
На сумму 39227056,0 тг с НДС передан подрядчику заказ №1119810/2025/2/002 от 20.04.2026г. (срок окончания 20.08.2026г.) на проведение ПИР по объектам: 
1. Проектно-изыскательские работы «Стратегический комплексный проект «Развертывание сети FTTH»». Развертывание сети FTTH_Туркестанская область. Развитие сети ШПД в многоэтажных домах, г.Туркестан;
2. Проектно-изыскательские работы «Стратегический комплексный проект «Развертывание сети FTTH»». Развертывание сети FTTH_Туркестанская область. Подключение объектов Халық банка по Туркестанской области.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</si>
  <si>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584 тыс тг - Содержание ДУП</t>
    </r>
  </si>
  <si>
    <t>I.25.ODS.34.019</t>
  </si>
  <si>
    <t>Развертывание сети FTTH_Улытауская область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</si>
  <si>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142 тыс тг материалы
225 тыс тг заработная плата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</si>
  <si>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402 021 691,09 тенге без НДС по заключенному договору №1098000/2025/1 от 05.06.2025 с Консорциумом в составе ТОО «Kazakhstan Invest Stroy» совместно с ТОО "AsiArt".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выдан заказ №1098000/2025/1/2/001 от 15.07.2025 г.,
Жезказган 1 часть: 3 кластер - вневедомственная экспертиза получена, приказ на утверждение ПСД № 56 от 12.03.2026 СМР в работе (выполнено 35%) 
Жезказган 2 часть:1,2 кластер, ГУ/ГО-23 объекта - вневедомственная экспертиза получена, приказ на утверждение ПСД № 77 от 24.04.2026
Заказы по разработке ПСД по кластерам 4,5 (2026 год) отменены
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</si>
  <si>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3 135 тыс тг - Содержание ДУП</t>
    </r>
  </si>
  <si>
    <t>I.25.ODS.34.020</t>
  </si>
  <si>
    <t>Развертывание сети FTTH_г.Шымкент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</si>
  <si>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4 427 тыс тг материалы
2 639 тыс г заработная плата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</si>
  <si>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8 057 тыс тг - материалы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</si>
  <si>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919 392 314,97 без НДС №1101936/2025/2 от 05.06.2025 с ТОО "Data Centre Solutions"
Номер заказа №1101936/2025/2/001 от 20.06.2025. Срок до 20.06.2026 г. 
Подрядная организация ТОО "Data Centre Solutions"
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Кластер 10 - кол-во портов - 3338. По факту - 4096 портов.
ПСД утвержден №273 от 31.12.25. СЗ о завершении СМР от 23.02.26. Текущий статус - "СМР завершен". СЗ на приемку от 05.05.26. Ожидаем полного комплекта исполнительной документации. 
Кластер 16 - кол-во портов -1752. Ожидаемое до конца мая 2026 года - 1752 порта.
ПСД утвержден №43 от 25.02.26. Ожидаемое физическое завершение обьекта к 30.06.2026. Уведомление о завершения СМР и предоставлении полного комплекта исполнительной документации от от 03.04.26.от 04.05.26  от 01.06.26. Ожидаем полного комплекта исполнительной документации. 
Кластер 14 - кол-во портов - 2216. По факту - 2520  (ОРШ-1 и ОРШ-2) порта.
ПСД утвержден №272 от 31.12.25.СЗ о завершении СМР от 30.03.2026.Текущий статус - "СМР завершен" СЗ на приемку от 27.04.26. Приемка состоялась, ведутся работы по устранению замечаний.
Кластера 11,12 - кол-во портов - 4560. 
ПСД утвержден №39 от 18.02.26. ПСД утвержден №39 от 18.02.26. Уведомления о завершения СМР и предоставлении полного комплекта исполнительной документации от 06.02.26. , от 18.03.26.  от 03.04.26 от 04.05.26   от 01.06.26 Ожидаемое физическое завершение объекта к 31.07.2026. Ожидаем полного комплекта исполнительной документации.
"Строительство сетей телекоммуникации к жилым комплексам компании "BI Group" г.Шымкент 1 очередь"
Номер заказа № 1101936/2025/2/2 от 20.06.2025. Срок до 20.12.2025 г.
По проекту – 17 ЖК. Кол-во портов - 3992.
Текущий статус - "СМР завершен". Приемка состоялась, ведутся работы по устранению замечаний. Акт приемки на подписании. Уведомления от 22.01.2026. от 11.03.2026. , от 03.04.26. от 04.05.26 от 01.06.26.
(На данный момент объект готовит исполнительные документы).
"Строительство сетей телекоммуникации к жилым комплексам компании "BI Group" г. Шымкент 2 очередь"
Номер заказа № 1101936/2025/2/003/01 от 19.08.2025. Срок до 20.12.2025 г. 
По заказу – 5 ЖК, кол-во портов - 997 по проекту, по факту -1640.Текущий статус - "СМР завершен". Приемка состоялась, ведутся работы по устранению замечаний. Акт приемки на подписании. Невозможно предоставить расшифровку из-за отсутствия полного пакета документов.
"Строительство сетей телекоммуникации к жилым комплексам компании "BI Group" г. Шымкент 3 очередь"
Номер заказа № 1101936/2025/2/006 от 26.01.2026. Срок до 31.07.2026 г. По заказу – 16 ЖК. Кол-во квартир - 4477.
По объекту Ведутся ПИР и параллельно СМР. Сдано 480 портов для 2–х ЖК (СЗ о завершении от 24.04.2026)
Развертывание сети FTTH_г.Шымкент. Строительство ВОЛС до ЖК Summit, объекты Халык банка и организация СЛ от АТС-553 до АМТС и от АТС Туран до ОРШ-321/39".
Номер заказа №1101936/2025/2/004-01 от 22.09.2025. Срок до 10.05.2026 г. 
по объектам "Халык банка" СМР завершен кол-во объектов 4/ портов – 32.
по обьекту "Организация СЛ от АТС-553 до АМТС", "СЛ ЖК Summit", "СЛ между АТС 321/1 мкр. Туран и ОРШ 321/039"
СМР завершены, готовится ПСД.
Стратегический комплексный проект «Развертывание сети FTTH»». Развертывание сети FTTH_г.Шымкент. Перевод городских сетей на технологии GPON мкр.Кайтпас-2, г.Шымкент
Номер заказа №1101936/2025/2/005 от 10.12.2025. Срок до 10.04.2026г.
По проекту - 232 порта, по факту - 1024 порта.
Текущий статус - "СМР завершен" СЗ о завершении от 19.01.2026.
Уведомление о предоставлении полного комплекта исполнительной документации (мкр.Кайтпас-2, г.Шымкент) от 24.04.2026. от 04.05.26  от 01.06.26   
Номер заказа № 1101936/2025/2/008 от 30.03.2026. Срок до 31.10.2026 г.
Местонахождение объекта: г. Шымкент и г.Туркестан
По заказу – 12 БС. Ведутся ПИР по объекту.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</si>
  <si>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16 845 тыс тг - Содержание ДУП</t>
    </r>
  </si>
  <si>
    <t>I.25.ODS.34.021</t>
  </si>
  <si>
    <t>Развертывание сети FTTH_Оборудование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</si>
  <si>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Точки доступа — договор с ТОО «Tech Sector» №1168542/2026/1 от 30.03.2026, срок действия договора до 31.12.2026. Выполнены поставки по двум этапам. Ожидается поставка по следующему этапу.
GPON Nokia — договор с ТОО «Tech Sector» №1165278/2026/1 от 06.01.2026, срок действия договора до 31.12.2026. Выполнены поставки по двум этапам. Ожидается последующая поставка.
GPON Huawei — договор с ТОО «Tech Sector» №1178238/2026/1 от 04.02.2026, срок действия договора до 31.12.2026. Поставка на текущую дату не осуществлялась.
ONT — договор с ТОО «BASTAU PROJECT» №1168201/2026/1 от 21.01.2026, срок действия договора до 31.12.2026. Выполнены поставки по двум этапам. Дополнительно ожидается гарантийная поставка в количестве 1 064 шт.
ONT — договор с ТОО «BASTAU PROJECT» №1168204/2026/1 от 21.01.2026, срок действия договора до 31.12.2026. Поставка выполнена в полном объеме. 
ONT — договор с ТОО «Tech Sector» №1178239/2026/1 от 23.01.2026, срок действия договора до 31.12.2026. Поставка выполнена в полном объеме. 
ONT — договор с ТОО «Tech Sector» №1180482/2026/1 от 26.01.2026, срок действия договора до 31.12.2026. Поставка выполнена в полном объеме. 
МСПД — договор с ТОО «Tech Sector» №1165279/2026/1 от 08.01.2026, срок действия договора до 31.12.2026. Поставка выполнена в полном объеме. 
ONT — договор с ТОО «Tech Sector» №1178250/2026/1 от 23.01.2026, срок действия договора до 31.12.2026. Поставка выполнена в полном объеме. 
ONT — договор с ТОО «Tech Sector» №1180491/2026/1 от 23.01.2026, срок действия договора до 31.12.2026. Поставка на текущую дату не осуществлялась.
DWDM — договор с ТОО «BASTAU PROJECT» №1168541/2026/1 от 08.01.2026, срок действия договора до 31.12.2026. Выполнены поставки по двум этапам. Ожидается поставка по следующему этапу.
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1 716 090 тыс тг - оборудования ZTE Wi-Fi CPE ZXHN H3601P/ZXHN H3601P-Z по договору №1168542/2026/1 от 30.03.2026 г. с ТОО "Tech Sector".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</si>
  <si>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171 989 тыс тг - Затраты ДУП</t>
    </r>
  </si>
  <si>
    <t xml:space="preserve"> - затраты ДТК</t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</si>
  <si>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8 143 тыс тг - Затраты ДТК</t>
    </r>
  </si>
  <si>
    <t>ВП</t>
  </si>
  <si>
    <t>I.24.B2C.34.004</t>
  </si>
  <si>
    <t>Развитие сети ШПД Западный регион в 2024 году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</si>
  <si>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</rPr>
      <t xml:space="preserve">
Передано СЗ от 03.02.2026 в ДПФ г.Уральск выполнение работ по рамочному договору № 1040651/2024/1 от 21.02.2025 ТОО "Data Centre Solutions"
</t>
    </r>
    <r>
      <rPr>
        <rFont val="Times New Roman"/>
        <b/>
        <color theme="1"/>
        <sz val="12.0"/>
      </rPr>
      <t xml:space="preserve">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b/>
        <color theme="1"/>
        <sz val="12.0"/>
      </rPr>
      <t xml:space="preserve">
</t>
    </r>
    <r>
      <rPr>
        <rFont val="Times New Roman"/>
        <color theme="1"/>
        <sz val="12.0"/>
      </rPr>
      <t>СМР и ПСД завершены
Передано для подключения 2544 портов.
ИД сдана на проверку</t>
    </r>
  </si>
  <si>
    <t>I.24.B2C.34.005</t>
  </si>
  <si>
    <t>Развитие сети ШПД Северный регион (г.Костанай, г.Аркалык) в 2024 году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</si>
  <si>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Передано СЗ от 03.02.2026 в ДПФ на сумму 30 157,61 без НДС, закупочные процедуры не состоялись в связи с чем потребность перешла на 2026 г.
Ждём подтверждение потребности от СКО ДЭСД ОДС на оптические кроссы. После подтверждения оборудование будет направлено на закупку.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</si>
  <si>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сумма 230 675,40 без НДС по заключенному договору №1040651/2025/2 от 21.02.2025 с ТОО "BASTAU PROJECT"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г.Костанай - ПИР выполнено на 100%, СМР выполнены на 100%, 
г.Аркалык - ПИР выполнено на 100%, СМР выполнены на 90% </t>
    </r>
  </si>
  <si>
    <t>I.24.B2B.34.001</t>
  </si>
  <si>
    <t>Жубанов Г.Е.</t>
  </si>
  <si>
    <t>Строительство каналов связи до базовых станций 5G мобильных операторов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</si>
  <si>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10 325 952,00 без НДС АКБ по договору №1071946/2025/4 от 05.11.2025 c ТОО "Alliance Solutions"
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 xml:space="preserve"> 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Оборудование поставлено, в процессе монтажа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</si>
  <si>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2 048 908 781,06 без НДС по договорам (суммы взяты без затрат ДУП)    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За май 2026 г. по МТС 144 БС и по Кселл 102 БС подключены.                                                                                                    
 г.Кызылорда №1086827/2025/1 от 09.04.2025  завершен. На стадии оплаты.      
г.Уральск №1086827/2025/1 от 09.04.2025  завершен. Окончательная оплата на согласовании.      
г.Актобе №1086827/2025/1 от 09.04.2025  завершен. Окончательная оплата на согласовании.    
г.Актау №1086827/2025/1 от 09.04.2025  завершен. АКТы на подписании.                                                                                                                                                                                
Улытауская область. 1 очередь №1040644/2024/2 от 31.12.2024 завершен. На стадии оплаты.                                        
Абайская обл. 1 оч. №1040644/2024/1 от 31.12.2024 завершен. На стадии оплаты.
Жетысуйская область.1-очередь.№1040644/2024/2 от 31.12.2024 завершен. На стадии оплаты.
Жамбылская область. 1-очередь №1040644/2024/2 от 31.12.2024 завершен. На стадии оплаты
ВКО, 1 оч. №1040644/2024/1 от 31.12.2024 завершен. На стадии оплаты 
г.Павлодар, 1 оч. №1040644/2024/1 от 31.12.2024 завершен. На стадии оплаты 
СКО, 1 оч. №1040644/2024/1 от 31.12.2024 завеше. На стадии оплаты.
г. Шымкент. 3-очередь №1040651/2025/1 от 21.02.2025г. ТОО "Data Centre Solutions"  на стадии оплаты.                                                                                                
                                                                                                                                                                                                                                                                                                                                                                                                                                                                                                                                                                                                                                                                                                                                                                                                                                                                                                                                                                                                                                                                         Проект №931 на стадии закрытия. СЗ о передаче проекта на закрытие направлена в ОДС.                                                                                                                                                                                                       
                                                                                                             </t>
    </r>
  </si>
  <si>
    <t>I.22.ODS.33.011</t>
  </si>
  <si>
    <t>Строительство ВОЛС для сегмента B2G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</si>
  <si>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  Западно-Казахстанская область 2023г Дог. №840625/2023/4 от 04.09.2023г ТОО "Анкон" завершен 100% (АПК подписан, в процессе начислении пени 303 КД );На 05.05.26 направлено уведомление подрядчику. На 20.05.26г джем от подрядчика ответ .
  г.Астана 2024 г дог №959658/2024/1 от 13.05.2024г завершен (АПК подписан, СМР завершен, на на баланс ОДС Азизо №23 передан. в процессе начислении пени); Ушло письмо об уведомлении подрядчика о применении трафный санкций. На 20.05.26  Переговорила с Подрядчиком ( рег. менеджр.Алтынбек,готовят ответ на уведомление о несогласии с пеней т.к у них были дни простоя из-за запретов).
  Кызылординская область №961488/2024/1 от 07.03.2024г ТОО "Алматытелефонстрой" СМР завершен ( на баланс ОДС передан Авизо №5, в процессе начислении пени);На 05.05.26 отрабатывается вопрос по взаиморасчету пени, направлено письмо подрядчику ответ на несогласие с пеней. На 20.05.26 от Подрядной организации  поступило письмоо несогласии пени и выставили нам свою пеню в Сумме  4 845 394 , ОСД подготовили ответ  ПО о несогласии с пеней на утвержденииу Аргимбаева
  г.Алматы Дог №1000621/2024/1 от 15.08.2024г ТОО "КАПИТАЛТЕЛЕКОМ" СМР завершен ( на баланс ОДС передан Авизо №2, ожидается согласие от подрядчику по начислении пени); На 20.05.26 от подрядчика не поступило письмо о согласии или не согласии пени( Созвонилась с Алтынбеков подготавливают письмо)
  Костанайская область 2023г Дог № 840625/2023/1 от 23.08.23 ТОО Азия ВЕК .СМР Завершен На 05.05.26 Подрядчик согласен на удержание пени проводиться процедура остатка оплаты. Объект завершен. АПК подписан 23.06.25  Начислена пеня 13 816 269,87т Оплату произвели ЗНО№346586 (Удержали 13млн, с 10% и ОИД остаток 5 751580,18)
  Западно-Казахстанская область 2024г Дог №1040651/2024/1 от 21.02.25 №1040651/2024/1 Пир выполнены на 100% СМР на 75% согласно письма подрядчика от 25.12.25г гарантирует закрыть объем в конце февраля 2026г . На 20.05.26г джем от подрядчика ответ .
  Костанайская область 2024г Дог. №959655/2024/1 от 25.04.2024г ТОО Азия ВЕК На стадии прохождения экспертизы на 152 объекта. планируемое завершение 1 полугодие 2026г. Заключен ДС на 16%. На 05.05.26 подрядчик за шел на Экспертизу. На 20.05.26 Подрядная организация направила проект на  утверждение сумма завышена на 106млн, принимается решение о огласовании  проекта. Бло 152 объекта (10 иключили протоколом) и еще 2 направлены на согласование  комерсантам об исключении. Проект на 140 точек.
  г.Астана ТОО "Анкон" Дог №904271/2024/1 от 14.01.24г(На 10.04.26 ИД частично предоставляется, СМР завершены устраняются замечания, По ул. Карасай батыра 2а ждем протокол измерения мощности от подрядчика подписанный от ЦТО ВОЛС. На 20.05.26 переговворила с Газизом  ждет ОДС на повторную приемку(15 объектов)</t>
    </r>
  </si>
  <si>
    <t>I.21.ODS.30.003</t>
  </si>
  <si>
    <t>Строительство ВОЛС для сегмента В2В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</si>
  <si>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 Область Абай дог №906688/2023/1 от 25.12.2023г ТОО "Казахстанский проектно-инжиниринговый центр "Литера 3"( по факту завершен СМР) АПК на подписании В процессе начислении пени);  На 20.05.26 Пеня начислена 
 Северо-Казахстанская область", 13 часть дог №906535/2024/1 от 11.01.2024 ТОО АНКОН СМР завершен АПК подписан (ожидается согласие от подрядчика по начислению пени )   От20.03.25 г.На 17.12.24 направлена СЗ на ГД о примении пени за 38КД НА 29.12.25 направлено СЗ в ОСД на оплату,На 27.01.26 имеется согласие подрядчика с пеней ждем лимит  КЗ На 05.05.26 Резерв оплачен С удержанием пени 5 232 411,52т.)  Оплата 09.04.26 (БГ)
 Костанайская область №904253/2024/1 от 11.01.2024 " ТОО "Ancon" ( выполнен объем ПИР , планируется расторжение и передача СМР в СКП. Протокол об исключении 66 объектов и перенос в СКП в процессе); На 20.05.25г  Подготавливается протокол о переносе объектов в СКП Тулекеева Д.(ПО)
 Акмолинская область Дог. №906518/2024/1 от 14.01.24г " ТОО "Ancon" ( выполнен объем ПИР, планируется расторжение и передача СМР в СКП Подготавливается письмо о расторжении Объекты 83 переданы в СКП подготавливается заказ о передачи объема в действующий договор по Акмолинской области) На 20.05.26  Объекты(83шт) переданы в СКП  По Акмолинской области ТОО Логиком, также направлено СЗ в ООЭ  на расторжение договора.с ТОО Анкон</t>
    </r>
  </si>
  <si>
    <t>I.24.ODS.34.003</t>
  </si>
  <si>
    <t xml:space="preserve">Развитие сети ВОЛС до клиентов B2B/B2G 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</si>
  <si>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 Акмолинская обл.1часть №999582/2024/1 от 11.07.2024 c ТОО "Mega Stroy Astana (Мега Строй Астана)" ИД на устранения замечании.  СМР завершены  На 05.05.26 Устраняют замечания по ИД ( имеется проблема с Топосьъемкой)
 Акмолинская обл.2часть №999555/2024/1 от 11.07.2024 c ТОО "Mega Stroy Astana (Мега Строй Астана)" ИД на устранения замечании.  СМР завершены  На 05.05.26 Устраняют замечания по ИД ( имеется проблема с Топосьъемкой)
 Акмолинская обл. 5 часть №1013398/2024/1 от 26.08.2024 c ТОО "Mega Stroy Astana (Мега Строй Астана)" ИД на устранения замечании.  СМР завершены  На 05.05.26 Устраняют замечания по ИД ( имеется проблема с Топосьъемкой)
 Актюбинская обл. 1 часть№975558/2024/1 от 03.06.2024 c ТОО "Energy Construction Engineering" (СМР завершены) Ответа от подрядчика не поступало на уведомление о пени, начата процедура начисления. АПК подписан19.09.25г. Пеня удержана . ОИД оплачено
 Мангистауская обл.1 оч №975554/2024/1 от 11.06.2024 Консорциум ТОО "ALTA Telecom" ("АЛТА Телеком") с ТОО "AVD ENGINEERING" (АВД ИНЖИНИРИНГ СМР завершеныАПК подписан 15.05.25г. ЗНО 339850 оплата 03.03.26.26 удержана пеня 4 054 281,47  т оплата ОИД 339851 оплата 04.03.26  Сумма  1 196 253 т 
 Мангистауская обл. 2 оч №975553/2024/1 от 11.06.2024 Консорциум ТОО "ALTA Telecom" ("АЛТА Телеком") с ТОО "AVD ENGINEERING" (АВД ИНЖИНИРИНГ) СМР завершены. АПК подписан окончательная оплата произведена) АПК подписан 17.12.25гОплата ЗНО 339852 оплата 27.02.26 удержана пеня 870 792,49 т оплата ОИД 339 853 оплата 04.03.26  Сумма 923 204 т
 Акмолинская обл.3 часть №975577/2024/1 от 04.06.24г ТОО "Капиталтелеком" На стадии приемки ( СМР завершены , Авизо №44 предано на баланс ОДС, направлено СЗ в ОСД о начислении пени). На 05.05.26 Пеня начислена и произведён окончательный платеж.  АПК от 07.10.25г На 20.05.26. Оплата ОИД  ЗНО 340759 расшифровка (10% резерв 9 791 924,15 тг пеня 10 527 157,30 тг удержано с обеспечения 735 233,15 тг)
 Актюбинская область, 2 очередь дог №1098000/2025/4 от 03.06.25г ТОО "International Trade Company "Eurasia Invest" срок договора июнь 2026г Объекты переданы в СКП . ОИД оплачена
 Алматинская область, 1, очередь № 1040651/2024/2 от 21.02.25 ТОО "BASTAU PROJECN" срок договора 21.02.2026г на стадии подписания АПК.СМР завершены  готовится расшифровка
 Алматинская область, 2, очередь № 1040651/2024/2 от 21.02.25 ТОО "BASTAU PROJECN" строк договора 21.02.2026г СКП. СМР завершены на стадии подписания АПК. На20.05.26  подготовлена Расшивровка затрат
 Алматы очередь № 1040651/2024/2 от 21.02.25 ТОО "BASTAU PROJECN" строк договора 21.02.2026г СКП СМР завершены на стадии подписания АПК.  На20.05.26  подготовлена Расшивровка затрат
 ЗКО 1 очередь ТОО " дог. № 1040651/2024/1 от 21.02.25г ТОО Data Centre Solutions" на стадии ИД срок завершения 21.02.2026г СКП (ПИР завершены на 100% СМР на 75% согласно гарантийного письма подрядчика завершить планируют до 15.02.25). СМР завершены на стадии подписания АПК 
 ЗКО 2 очередь ТОО дог. № 1040651/2024/1 от 21.02.25г ТОО Data Centre Solutions" ( ПИР завершены на 100% СМР на 75% согласно гарантийного письма подрядчика завершить планируют до 15.02.25) СМР завершены на стадии подписания АПК 
 Костанайская область, 1 очередь № 1040651/2024/2 ТОО "BASTAU PROJECN" срок завершения 21.02.2026г СКП СМР завершены на 50% . на 20.05.26г СМР завершены на стадии приемки объектов. Письмо от Бастау  поступило СЗ на приемку объектов от 16.05.26г
 Костанайская область, 2 очередь № 1040651/2024/2 ТОО "BASTAU PROJECN" срок завершения 21.02.2026г СКП Потребность СМР завершены Подписываются последний ОВР сдается частично ИД и подготовка АПКна 20.05.26г СМР завершены на стадии приемки объектов. Письмо от Бастау  поступило СЗ на приемку объектов от 16.05.26г
 Костанайская область, 3 очередь № 1040651/2024/2 ТОО "BASTAU PROJECN" срок завершения 21.02.2026г СКП Подписываются последний ОВР сдается частично ИД и подготовка АПК 
 СКО обл. №999597/2024/1 от 12.07.2024 с ТОО "Mega Stroy Astana (Мега Строй Астана) СМР завершены на стадии подписания АПК . на 20.05.26г СМР завершены на стадии приемки объектов. Письмо от Бастау  поступило СЗ на приемку объектов от 16.05.26г. уточняю
 Алматы_Алматинская_рамочный дог. № 1040651/2024/2 ТОО "BASTAU PROJECN" срок завершения 21.02.2026г СКП (37 объектов переданы в СКП Алматы и Алматинской Области). направлены заказы подрядным организациям. </t>
    </r>
  </si>
  <si>
    <t>I.23.ODS.34.007</t>
  </si>
  <si>
    <t>Перевод городских сетей на технологии GPON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</si>
  <si>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</rPr>
      <t xml:space="preserve">
Передано СЗ от 03.02.2026 в ДПФ на сумму 88 732,20 без НДС по заключенному договорам: 
48 589 863,65 - №909190/2024/1 от 14.01.2024 ТОО "Ancon" совместно с ТОО "Ancon Engineering"
40 142 333,24 - "№909297/2024/1 от 11.01.2024 ТОО "Ancon" совместно с ТОО "Ancon Engineering"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дог №909190/2024/1 от 14.01.2024 ТОО "Ancon" совместно с ТОО "Ancon Engineering" - СМР завершены. Замечания устранены, ИД готова, на приемке объекты.
дог №909297/2024/1 от 11.01.2024 ТОО "Ancon" совместно с ТОО "Ancon Engineering" - СМР завершены. Объемы приняты. Акт приемки на согласовании.
</t>
    </r>
    <r>
      <rPr>
        <rFont val="Times New Roman"/>
        <color rgb="FFFF0000"/>
        <sz val="12.0"/>
      </rPr>
      <t xml:space="preserve">
Сумма</t>
    </r>
    <r>
      <rPr>
        <rFont val="Times New Roman"/>
        <color theme="1"/>
        <sz val="12.0"/>
      </rPr>
      <t xml:space="preserve"> </t>
    </r>
    <r>
      <rPr>
        <rFont val="Times New Roman"/>
        <color rgb="FFFF0000"/>
        <sz val="12.0"/>
      </rPr>
      <t>2 663 тыс тг по договору №909190/2024/1 от 14.01.2024 с ТОО "Ancon" (Заказ №4501219166 дата счета: 29.12.2025, дата проводки: 01.04.2026)</t>
    </r>
  </si>
  <si>
    <t>I.25.ODS.34.101</t>
  </si>
  <si>
    <t>Нахыпбеков С.</t>
  </si>
  <si>
    <t>Обеспечение высокоскоростным доступом к сети Интернет Республики Казахстан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</si>
  <si>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 xml:space="preserve">На основании поступившего в адрес АО «Казахтелеком» ППРК от 17 октября № 873 о необходимости заключения договорных обязательств с АО «Транстелеком» в качестве генерального подрядчика, заключено соответствующие договорные обязательства с АО «Транстелеком».
В связи с заключением договорных обязательств между  АО «Казахтелеком» и АО «Транстелеком» от 8 декабря 2025 года вступившего в юридическую силу 30 декабря 2025 года, на реализацию проекта с определением АО «Транстелеком» в качестве генерального подрядчика, в 2025 году освоение средств было проведено только по направлениям поставки оборудования и проведения проектно-изыскательских работ.  
Сумма 23 049 596 тыс тг объем необходимый в 2026 году.
На согласовании доп соглашение на НДС 16%
</t>
    </r>
    <r>
      <rPr>
        <rFont val="Times New Roman"/>
        <color rgb="FFFF0000"/>
        <sz val="12.0"/>
      </rPr>
      <t xml:space="preserve">Сумма 810 882,710 тыс тг было посажено 31.12.2025г в 13 периоде оценочно, в связи с отсутствием тех возможности.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16 449 тыс тг - технадзор</t>
    </r>
  </si>
  <si>
    <t>I.26.ODS.34.005</t>
  </si>
  <si>
    <t>Кожахметов Б.Д.</t>
  </si>
  <si>
    <t>Козлова Т.А.</t>
  </si>
  <si>
    <t>Развитие вычислительных мощностей для внедрения ИИ решений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</si>
  <si>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Этап 2025 завершен
Этап 2026 - Согласование заключения договора из одного источника. </t>
    </r>
  </si>
  <si>
    <t>I.25.ODS.34.022</t>
  </si>
  <si>
    <t>Строительство ЦОД в г. Астана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</si>
  <si>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Оборудование: Основное оборудование (шкафы, ДГУ, шинопровод, трансформаторы, кондиционеры и т.д.) доставлено, проводятся монтажные работы;
</t>
    </r>
  </si>
  <si>
    <r>
      <rPr>
        <rFont val="Times New Roman"/>
        <color theme="1"/>
        <sz val="12.0"/>
      </rPr>
      <t xml:space="preserve">
</t>
    </r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</rPr>
      <t xml:space="preserve">
Передано СЗ от 03.02.2026 в ДПФ на сумму 5 853 797 603,28 тенге с учетом НДС (5 046 377 244,21 тенге без учета НДС).
Причина ВП:
В связи с поступившей жалобой - процедура закупки была заблокирована на электронной площадке Фонда «Самрук-Казына» (на 1,5 мес). Договор заключен 28.07.2025 №1097024/2025/1. Согласно подпункту 4 пункта 1 статьи 62 Порядка закупок Фонда «Самрук-Қазына» срок исполнения обязательств по договору продлён соразмерно периоду приостановления - до 17 февраля 2026 года.
Статус проекта: Проект одобрен и утвержден (РП от 29.01.2026 №6/14, КСП от 19.03.2026 №3, СД от 20.03.2026 №6, ПК Гейт 2 №13 от 02.04.2026). План-график скорректированной версии Бизнес плана находится на согласовании.
Текущий статус выполнения: 
- Основное здание: Готовность составляет 95%, продолжаются внутренние чистовые работы. Ведется прокладка слаботочных и силовых кабелей;
- Оборудование: Основное оборудование (шкафы, ДГУ, шинопровод, трансформаторы, кондиционеры и т.д.) доставлено, проводятся монтажные работы;
- Электроснабжение: На июнь 2026 года инициированы закупочные процедуры по модернизации подстанции для покрытия дефицита электроэнергии в 7 МВт в г. Косшы;
- Облачная инфраструктура: В части развертывания Cloud-инфраструктуры пересматривается текущее решение. Это связано с письмом АО «Самрук-Казына» (далее — Фонд): в рамках инициативы «Долина ЦОДов» портфельным компаниям Фонда предписано приоритизировать использование облачных решений и инфраструктуры АО «Казахтелеком» и ТОО «QazCloud». Закупка собственного серверного оборудования должна быть минимизирована и возможна только при наличии веского обоснования, согласованного с Экспертным советом по ИТ.
скорректированная сумма 3 058 742 575 тенге без учета НДС по СМР "Расширение (модернизация)  подстанций". Сумма занесена и подтвердена в САП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</si>
  <si>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44 290 тыс тг - содержание ДУП</t>
    </r>
  </si>
  <si>
    <t>ОСНОВНОЙ БИЗНЕС</t>
  </si>
  <si>
    <t>Н</t>
  </si>
  <si>
    <t>I.26.B2B.34.001</t>
  </si>
  <si>
    <t>Каиров А.Ж.</t>
  </si>
  <si>
    <t>Расширение транзитной ёмкости сети в направлении Китай/ЦА-Европа (9х100G)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</si>
  <si>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 ПГ утвержден, разработка и утверждение технических требований на закуп оборудования. Заявка на закуп оборудования DWDM передана в ДТК.</t>
    </r>
  </si>
  <si>
    <t>I.24.ODS.34.009</t>
  </si>
  <si>
    <t>Перевод АТС г. Алматы на технологии G-PON в 2024 г.</t>
  </si>
  <si>
    <r>
      <rPr>
        <rFont val="Times New Roman"/>
        <b/>
        <color theme="1"/>
        <sz val="12.0"/>
      </rPr>
      <t>ВП:</t>
    </r>
    <r>
      <rPr>
        <rFont val="Times New Roman"/>
        <color theme="1"/>
        <sz val="12.0"/>
      </rPr>
      <t xml:space="preserve">
Передано СЗ от 03.02.2026 в ДПФ 
2 591 тыс. тг переходящая сумма ЭПУ по договорам ДС №1104704/2025/1-1 от 19.12.2025 г к договору №1104704/2025/1 от 18.08.2025  с "Omega Energy", ДС №1127690/2025/1-1 от 23.12.2025г. к договору №1127690/2025/1 от 12.08.2025г. с "Omega Energy"
3 000 тыс. тг переходящая сумма услуги GPON ТОО "Tech Sector". Оборудование поставлено в полном объеме.</t>
    </r>
  </si>
  <si>
    <r>
      <rPr>
        <rFont val="Times New Roman"/>
        <b/>
        <color theme="1"/>
        <sz val="12.0"/>
        <u/>
      </rPr>
      <t>Ход реализхации:</t>
    </r>
    <r>
      <rPr>
        <rFont val="Times New Roman"/>
        <color theme="1"/>
        <sz val="12.0"/>
        <u/>
      </rPr>
      <t xml:space="preserve">
Договор №1040651/2025/2 от 21.02.2025 с ТОО "BASTAU PROJECT" на сумму 1 815 734 611 тг без НДС.
Заказ №1040651/2025/2/009, </t>
    </r>
    <r>
      <rPr>
        <rFont val="Times New Roman"/>
        <color theme="1"/>
        <sz val="12.0"/>
        <u/>
      </rPr>
      <t>«Перевод сети г. Алматы на технологии G-PON в 2024г. 5-очередь»</t>
    </r>
    <r>
      <rPr>
        <rFont val="Times New Roman"/>
        <color theme="1"/>
        <sz val="12.0"/>
        <u/>
      </rPr>
      <t xml:space="preserve">,
1. ЖК Soho-17 - СМР выполнен на 100%, объект подключен. Минимальный пакет исполнительной документации сдан
2. ЖК NEF up town - СМР выполнен на 100%, объект подключен. Минимальный пакет исполнительной документации сдан
3. ЖК Centrium - СМР выполнен на 100%, объект подключен. Минимальный пакет исполнительной документации сдан
4. ЖК Elif Garden - СМР выполнен на 100%, объект подключен. Минимальный пакет исполнительной документации сдан
Заказ 1040651/2025/2/010, </t>
    </r>
    <r>
      <rPr>
        <rFont val="Times New Roman"/>
        <color theme="1"/>
        <sz val="12.0"/>
        <u/>
      </rPr>
      <t>«Перевод сети г. Алматы на технологии G-PON в 2024г. 6-очередь»</t>
    </r>
    <r>
      <rPr>
        <rFont val="Times New Roman"/>
        <color theme="1"/>
        <sz val="12.0"/>
        <u/>
      </rPr>
      <t xml:space="preserve">
1. ЖК Terracotta - СМР выполнен на 100%. Приемка проведена замечания устранены. Готовится ИД
2. МЖК Медеу Парк - СМР выполнен на 100%, Приемка проведена,  ИД проверена, устраняют замечания по ИД
3. ЖК Exclusive Time - СМР выполнен на 100%. Приемка проведена замечания устранены. Готовится ИД
4. ЖК Koktobe City - СМР выполнен на 100%. Приемка проведена, устраняются замечания
5. ЖК Arman City 2 - СМР выполнен на 100%. Приемка проведена замечания устранены. Готовится ИД
6. ЖК Мереке - СМР выполнен на 100%. Приемка проведена замечания устранены. Готовится ИД
Заказ 1040651/2025/2/011, </t>
    </r>
    <r>
      <rPr>
        <rFont val="Times New Roman"/>
        <color theme="1"/>
        <sz val="12.0"/>
        <u/>
      </rPr>
      <t xml:space="preserve">«Перевод сети г. Алматы на технологии G-PON в 2024г. 9-очередь»
</t>
    </r>
    <r>
      <rPr>
        <rFont val="Times New Roman"/>
        <color theme="1"/>
        <sz val="12.0"/>
        <u/>
      </rPr>
      <t xml:space="preserve">1. ЖК Nomad-2 - СМР выполнен на 50% 
2. ЖК Heaven - СМР выполнен на 100%. Приемка проведена. Подключен. Готовится ИД и АКТ-ы приемки.
3. ЖК Амаль - СМР выполнен на 100%. Приемка проведена. Подключен. Готовится ИД и АКТ-ы приемки
4. ЖК Комфорт сити - СМР выполнен на 100%, Приемка состоялась, ведутся работы по устранению замечаний.
Составляется пакет исполнительной документации
5. ЖК Наследие - СМР выполнен на 100%. Приемка проведена. Подключен. Готовится ИД и АКТ-ы приемки
6. ЖК Noble House - СМР выполнен на 100%, Приемка проведена,  объект подключен
7. ЖК Каменка Парк - СМР выполнен на 30%
8. ЖК Verona - СМР выполнен на 100%, Приемка проведена,  ИД проверена, объект подключен
9. ЖК Тайм сити - СМР выполнен на 100%, Приемка состоялась, ведутся работы по устранению замечаний
Составляется пакет исполнительной документации
10. ЖК La Verde -  СМР выполнен на 100%. Приемка прошла. Подключен. Готовится ИД и АКТ-ы приемки
Заказ 1040651/2025/2/012, </t>
    </r>
    <r>
      <rPr>
        <rFont val="Times New Roman"/>
        <color theme="1"/>
        <sz val="12.0"/>
        <u/>
      </rPr>
      <t>«Перевод сети г. Алматы на технологии G-PON в 2024г. 10-очередь»</t>
    </r>
    <r>
      <rPr>
        <rFont val="Times New Roman"/>
        <color theme="1"/>
        <sz val="12.0"/>
        <u/>
      </rPr>
      <t xml:space="preserve">
1. ЖК Famous town - СМР выполнен на 100%. Приемка проведена. Подключен. Готовится ИД и АКТ-ы приемки
2. ЖК Hayat Apartments - СМР выполнен на 100%. Приемка проведена. Подключен. Готовится ИД и АКТ-ы приемки
3. мкр Саялы - СМР выполнен на 100%. Приемка проведена. Подключен. Готовится ИД и АКТ-ы приемки
4. мкр.Аккент - СМР выполнен на 100%. Приемка проведена. Подключен. Готовится ИД и АКТ-ы приемки
5. ЖК Meridian Apartments - СМР выполнен на 100%. Приемка проведена. Подключен. Готовится ИД и АКТ-ы приемки
6. ЖК Hayat Regency - СМР выполнен на 100%. Приемка проведена. Подключен. Готовится ИД и АКТ-ы приемки
7. Достык 300 - СМР выполнен на 100%. Приемка проведена. Подключен. Готовится ИД и АКТ-ы приемки</t>
    </r>
  </si>
  <si>
    <t xml:space="preserve"> I.24.ODS.34.007</t>
  </si>
  <si>
    <t>Перевод сети г. Астана на технологии G-PON в 2024 г.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</si>
  <si>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</rPr>
      <t xml:space="preserve">
Передано СЗ от 03.02.2026 в ДПФ на сумму 113 919 985,55 без НДС по заключенному договору №992847/2024/1 от 24.07.2024 с ТОО "Капиталтелеком"
</t>
    </r>
    <r>
      <rPr>
        <rFont val="Times New Roman"/>
        <color theme="1"/>
        <sz val="12.0"/>
        <u/>
      </rPr>
      <t xml:space="preserve">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 xml:space="preserve">СМР завершены. Замечания устранены. ИД сдана в ДЭСД на проверку.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12 047 тыс тг по договору №992847/2024/1 от 24.07.2024 с ТОО "Капиталтелеком"</t>
    </r>
  </si>
  <si>
    <t xml:space="preserve"> I.24.ODS.34.008</t>
  </si>
  <si>
    <t>Перевод сети г. Шымкент на технологии G-PON в 2024 г.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</si>
  <si>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Передано СЗ от 03.02.2026 в ДПФ
сумма 3 000 тг по услугам монтажа оборудования GPON договор №1096809/2025/1 от 20.05.2025 с ТОО "Tech Sector"</t>
    </r>
  </si>
  <si>
    <t>I.25.DBD.58.002</t>
  </si>
  <si>
    <t>Smart Aqkol 2025: Расширение цифровых решений и внедрение ИИ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</si>
  <si>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>По данному объекту в рамках договора № 1098000/2025/5 от 12.06.2025, заключённого с Консорциумом в составе АО «Логиком» совместно с ТОО «ОптикСтрой», подрядной организации передан заказ № 1098000/2025/5/004. СМР в работе,  выполнен 30%. 72 камеры смонтированы и подключены, остальные работы ведутся.</t>
    </r>
  </si>
  <si>
    <t>I.24.B2B.34.002</t>
  </si>
  <si>
    <t>Расширение транзитной ёмкости в направлении Китай-Европа на 2024-2026 гг.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</si>
  <si>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Передано СЗ от 03.02.2026 в ДПФ
1. Договор №1153651/2025/1 от 20.11.2025 с ТОО "Omega Energy" на сумму 25 650 203,04 тг, акт от 20.02.2026.
2. Договор №1159896/2025/1 от 24.11.2025  с ТОО "Alliance Solutions" на сумму 24 409 196,46 тг – договор расторгнут в связи с неисполнением обязательств поставщиком, подготовка документации на закуп оборудования (ДГА). 
3. Договор 1151456/2025/1 от 21.11.2025 с ТОО "Master Service" на сумму 22 818 510 тг, акт ПП от 11.03.2026.
4. ДС №1104704/2025/1-1 от 19.12.2025, ДС №1104704/2026/1-2 от 08.01.2026 г. к договору №1104704/2025/1 от 18.08.2025г. с ТОО "Omega Energy" на сумму 12 969 000 тг, акт от 12.02.2026 
5. Договор № 1167487/2026/1 от 22.01.2026 с ТОО "Omega Energy" на сумму 4 704 480 тенге, акт от 27.02.2026
утвержден ПГ на 2026г</t>
    </r>
  </si>
  <si>
    <t>ОСНОВНОЙ БИЗНЕС С РИСКОМ ПОТЕРИ ДОХОДОВ</t>
  </si>
  <si>
    <t>I.24.ODS.34.004</t>
  </si>
  <si>
    <t>Повышение надежности функционирования объектов инфраструктуры за счет приведения в соответствие техническим нормам эксплуатации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</si>
  <si>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183 АМС:
ПИР: по договору №1134523/2025/2 от 18.12.2025 г.  с подрядчиком ТОО "КАПИТАЛТЕЛЕКОМ" ПИР завершены по всем областям, документация подписанны, на стадии оплаты.
по договору  №1134523/2025/1 от 06.12.2025г. с подрядчиком ТОО "БерекетПроект" ПИР завершены по всем областям, документация подписанны, оплата прошла.
СМР: по 15 областям (Павлодар, Западно-КЗ, Актюбинск, Жетису, Жамбыл, Атырау, Кызылорда, г.Алматы, Туркестан, Алматинская, Мангистау, Улытау, СКО, Костанай, Абай)  тех.спецификация, тех.заключение и сметные данные готовы, потребности в сап занесены, идет процесс объявления тендера
103 АМС:
ПИР: потребности занесены в сап,  идет процесс объявления тендера
план ККР 2026г. утвержден 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17 952 тыс тг по договору №1134523/2025/2 от 18.12.2025 г.  с подрядчиком ТОО "КАПИТАЛТЕЛЕКОМ" ПИР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</si>
  <si>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6 412 тыс тг - затраты ДУП </t>
    </r>
  </si>
  <si>
    <t>I.22.ODS.33.001</t>
  </si>
  <si>
    <t>Модернизация и расширение функциональности существующей платформы управления сигнальным трафиком (SRF) производства NetNumber или установка новой платформы SRF</t>
  </si>
  <si>
    <t>ОПТИМИЗАЦИЯ ЗАТРАТ / ПОВЫШЕНИЕ КАЧЕСТВА</t>
  </si>
  <si>
    <t>I.21.ODS.33.005</t>
  </si>
  <si>
    <t>Мейрманов Н.К.</t>
  </si>
  <si>
    <t>Развитие инфраструктуры для кэш-серверов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</si>
  <si>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
3 000 тыс тг услуги по монтажу Кондиционера по договору № 1145235/2025/1  от 21.10.2025 с ТОО "SАМ - Trade"
93 720 тыс тг поставка ЭПУ по договру №1137821/2025/1 от 20.10.2025 с ТОО "Master Service"
102 тыс тг поставка Щиты по договру №1135526/2025/1  от 21.08.2025 с  ИП Дуйсенбаев - договор расторгнут, новый закуп иницирован (март-апрель)на сумму 192 тыс.тг. 
83 139 тыс тг поставка АКБ по договру №1144581/2025/1 от 22.12.2025 с ТОО "Alliance Solutions"
64 124 тыс тг услуги по монтажу DWDM по договру №1127903/2025/1 от 08.09.2025 с АО "Логиком"
Потребности на 2026 год занесены, ТЗ по DWDM, ПД и Серверу на согласовании
</t>
    </r>
    <r>
      <rPr>
        <rFont val="Times New Roman"/>
        <b/>
        <color theme="1"/>
        <sz val="12.0"/>
        <u/>
      </rPr>
      <t xml:space="preserve">
Освоено:
</t>
    </r>
    <r>
      <rPr>
        <rFont val="Times New Roman"/>
        <color theme="1"/>
        <sz val="12.0"/>
        <u/>
      </rPr>
      <t>176 859 тыс тг Оборудование ЭПУ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</si>
  <si>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3 225 тыс тг - затраты ДУП</t>
    </r>
  </si>
  <si>
    <t>Проекты категории "LTO"</t>
  </si>
  <si>
    <t>I.25.ODS.34.027</t>
  </si>
  <si>
    <t>Жанайдар А.Е.</t>
  </si>
  <si>
    <t xml:space="preserve">Модернизация центра мониторинга СОРМ на телефонной сети 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</si>
  <si>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В настоящее время осуществляется реализация схемы подключения 17 SSW к средствам проведения СОРМ отечественного производства посредством виртуального концентратора ЕСМ (для создания возможности параллельного подключения действующих и внедряемых средств СОРМ). В рамках данной работы 3 SSW подключены к виртуальному ЕСМ, проводится тестирование. Прорабатывается подключение SIP-платформы Broadworks  (георезервирование Алматы-Астана)  напрямую к внедряемым средствам СОРМ. Возможно продлевание сроков проекта заключением дополнительного соглашения. Ожидается официальное письмо от поставщика.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</si>
  <si>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972 тыс тг - затраты ДУП</t>
    </r>
  </si>
  <si>
    <t>I.22.ODS.33.008</t>
  </si>
  <si>
    <t>Картжанов Б.Б.</t>
  </si>
  <si>
    <t>Исполнение лицензионных обязательств 50+ АО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</si>
  <si>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 1. ТОО "NEWTECH DISTRIBUTION" №725450/2022/1 от 31.08.2022 - 1 788 864,00 без НДС - Оборудование ЦРРЛ (монтаж Караганда "РРС Мынбаево - РРС Изенды") монтаж оборудования завершен, на стадии выполнения настроек;
 2. Закупка ОДС по договору №1127690/2025/1 от 12.08.2025 г., с ТОО «Omega Energy» Расширение/модернизация оборудования ЭПУ, АКБ, инверторы, ДГА - ДГА договор рассторгнут, АКБ и ЭПУ проведены оплаты 100% 
 3. Спутниковое оборудование (только монтаж и запуск, оборудование имеется в наличии) - остались 2 объекта, Карагандинский завершен, по Абайской 2 объекта остались. 
</t>
    </r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</si>
  <si>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1. ТОО "Аврора Сервис" №1103737/2025/2 от 02.09.2025 - 45 582 317,43 без НДС, ПИР и СМР завершены, проведена оплата 100%
2. ТОО "STROY GROUP INVEST" №1103737/2025/1 от 10.07.2025 - 113 771 495,32 без НДС, завершили ПИР и СМР, проведена оплата 90%                  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 xml:space="preserve">155 436 тыс тг, в том числе:
113 772 тыс тг по договору №1103737/2025/1 от 10.07.2025 ТОО "STROY GROUP INVEST"
41 664 тыс тг по договору №1103737/2025/2 от 02.09.2025 ТОО "Аврора Сервис"
          </t>
    </r>
  </si>
  <si>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</rPr>
      <t xml:space="preserve">10 359 тыс тг - затраты ДУП
          </t>
    </r>
  </si>
  <si>
    <t>I.21.ODS.33.004</t>
  </si>
  <si>
    <t>Приведение сети ПД в соответствие  требованиям действующего законодательства по СОРМ 2021-2023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</si>
  <si>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3,972,343,07 тг без НДС по заключенному договору №1140852/2025/1 от 31.10.2025 ИП "INSIDE TECHNOLOGY"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После решения приемной комиссии было принято решение заменить оборудование и переделать монтажны работы. Старое оборудование забрали, новые газовые баллоны в производстве. Ожидается завершение проекта в июне 2026.</t>
    </r>
  </si>
  <si>
    <t>I.26.ODS.34.001</t>
  </si>
  <si>
    <t>Обеспечение требований ОРМ сети АО "Казахтелеком" для сбора и хранения циркулирующего трафика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</si>
  <si>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Лоты отправлены на закуп</t>
    </r>
  </si>
  <si>
    <t>Проекты для поддержания сетей телекоммуникаций</t>
  </si>
  <si>
    <t>Е</t>
  </si>
  <si>
    <t>Поддержание сетей телекоммуникаций</t>
  </si>
  <si>
    <t>R.26.ODS.33.001</t>
  </si>
  <si>
    <t>ДУП - Капитализируемый ремонт линейных и станционных устройств связи</t>
  </si>
  <si>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</rPr>
      <t xml:space="preserve">
 для 34 объектов ККР хоз.способом на основании плана созданы 37 СПП-элементов для планирования закупа МЦП (закуп в зоне ответственности ОДС). Осуществлен приход ж/б опор в г.Алматы 375 шт.и г.Костанай 50 шт., ВК ДЭСД 300 шт., CК ДЭСД-150 шт., Қызылордниский ДЭСД -75 шт. По 1 объекту подрядным способом - планирование и подготовка документации для объявления тендера.
</t>
    </r>
    <r>
      <rPr>
        <rFont val="Times New Roman"/>
        <b/>
        <color theme="1"/>
        <sz val="12.0"/>
        <u/>
      </rPr>
      <t>Освоено:</t>
    </r>
    <r>
      <rPr>
        <rFont val="Times New Roman"/>
        <color theme="1"/>
        <sz val="12.0"/>
      </rPr>
      <t xml:space="preserve">
</t>
    </r>
    <r>
      <rPr>
        <rFont val="Times New Roman"/>
        <color rgb="FFFF0000"/>
        <sz val="12.0"/>
      </rPr>
      <t>270 тыс тг - материалы по хоз способу</t>
    </r>
  </si>
  <si>
    <t>ОДС</t>
  </si>
  <si>
    <t>Проекты категории "Вспомогательные инвестиции"</t>
  </si>
  <si>
    <t>I.22.ODS.33.215</t>
  </si>
  <si>
    <t>Организация площадки ЕЦУС г.Нур-Султан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</si>
  <si>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сумма 5 064 866 без НДС по заключенному договору №997565/2024/1 от 06.09.2024 ТОО "Казахстанская Лифтовая компания Казлифт".
Договор был расторгнут в одностороннем порядке. Иск был подан. 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>17 марта состоялось судебное заседание. По его итогам принято решение о том, что подрядчик «Казлифт» обязан завершить монтаж лифта в течение 80 дней (13.04.2026 - 02.07.2026).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</si>
  <si>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 Передано СЗ от 03.02.2026 в ДПФ об экономии по СМР в размере 17 322 812,91 тенге без НДС. Указанная сумма предлагается как внепланово-переходящая с переносом на 2026 год для последующей закупки лифта.
</t>
    </r>
    <r>
      <rPr>
        <rFont val="Times New Roman"/>
        <b/>
        <color theme="1"/>
        <sz val="12.0"/>
        <u/>
      </rPr>
      <t xml:space="preserve">
 Ход реализации:
</t>
    </r>
    <r>
      <rPr>
        <rFont val="Times New Roman"/>
        <color theme="1"/>
        <sz val="12.0"/>
        <u/>
      </rPr>
      <t xml:space="preserve"> По объёмам на 2026 год потребность по капитальному ремонту 3-го и 4-го этажей внесена и утверждена в САП. Служебная записка направлена в ОСД для формирования лота.
 БП в корректировке.
В настоящий момент проводится расчет по работам 1-го этажа. По данному объекту будет заключен новый договор.
Капитальный ремонт 3-го и 4-го этажей переносится на 2027 год.</t>
    </r>
  </si>
  <si>
    <t>I.24.ODS.33.002</t>
  </si>
  <si>
    <t>Модернизация объекта ЕЦУС г. Алматы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</si>
  <si>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Передано СЗ от 03.02.2026 в ДПФ на сумму 30 520 106 тг без НДС по услугам лифта по договору №1132633/2025/1 от 04.09.2025г. с ТОО "СДМ" СТИЛЬ"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 Заключено дополнительное соглашение №1132633/2026/1-1 от 13.02.2026 г. к договору №1132633/2025/1 от 04.09.2025 г., на поставку лифта грузопассажирского,   заключенный с ТОО "СДМ" СТИЛЬ".
Лифт установлен</t>
    </r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</si>
  <si>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1 004 703 063,58 тг по рамочному договору №1104100/2025/1 от 07.06.2025 с ТОО "ITStroyService"
В соответствии с утвержденным БП 2025 года сумма 521 900 080 переносится как внепланово-переходящая без заключенного договора
По договору №1009318/2024/1 от 17.09.2024 с ТОО SK Kazyna, Акт приемки подписан, договор закрыт.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СМР выполнялись в рамках договора  №1104100/2025/1 от 07.06.2025 с ТОО "ITStroyService".  Готовность СМР 90%.
</t>
    </r>
  </si>
  <si>
    <t>I.25.ODS.33.005</t>
  </si>
  <si>
    <t>Модернизация объекта ГП ОДС г. Алматы</t>
  </si>
  <si>
    <r>
      <rPr>
        <rFont val="Times New Roman"/>
        <b/>
        <color theme="1"/>
        <sz val="12.0"/>
        <u/>
      </rPr>
      <t>ВП:</t>
    </r>
    <r>
      <rPr>
        <rFont val="Times New Roman"/>
        <color theme="1"/>
        <sz val="12.0"/>
        <u/>
      </rPr>
      <t xml:space="preserve">
</t>
    </r>
    <r>
      <rPr>
        <rFont val="Times New Roman"/>
        <color theme="1"/>
        <sz val="12.0"/>
        <u/>
      </rPr>
      <t xml:space="preserve">Передано СЗ от 03.02.2026 в ДПФ на сумму 59 244 280 тг по рамочному договору №1104100/2025/1 от 07.06.2025 с ТОО "ITStroyService"
В соответствии с утвержденным БП 2025 года сумма 3 406 545,74 переносится как внепланово-переходящая без заключенного договора
</t>
    </r>
    <r>
      <rPr>
        <rFont val="Times New Roman"/>
        <b/>
        <color theme="1"/>
        <sz val="12.0"/>
        <u/>
      </rPr>
      <t>Ход реализации:</t>
    </r>
    <r>
      <rPr>
        <rFont val="Times New Roman"/>
        <color theme="1"/>
        <sz val="12.0"/>
        <u/>
      </rPr>
      <t xml:space="preserve">
СМР выполнялись в рамках договора  №1104100/2025/1 от 07.06.2025 с ТОО "ITStroyService". Готовность СМР 25%.</t>
    </r>
  </si>
  <si>
    <t>I.25.B2B.30.001</t>
  </si>
  <si>
    <t>Сарсенбаев А.</t>
  </si>
  <si>
    <t>Организация доступа к сети Интернет по технологии Wi-Fi в общественных местах</t>
  </si>
  <si>
    <r>
      <rPr>
        <rFont val="Times New Roman"/>
        <b/>
        <color theme="1"/>
        <sz val="12.0"/>
      </rPr>
      <t>Освоено:</t>
    </r>
    <r>
      <rPr>
        <rFont val="Times New Roman"/>
        <color theme="1"/>
        <sz val="12.0"/>
      </rPr>
      <t xml:space="preserve">
434 тыс тг - затраты ДУП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</si>
</sst>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\ ##0"/>
    <numFmt numFmtId="165" formatCode="#\ ##0.0"/>
    <numFmt numFmtId="166" formatCode="_(* #####\ ##0.00_);_(* \(#####\ ##0.00\);_(* &quot;-&quot;??_);_(@_)"/>
    <numFmt numFmtId="167" formatCode="_(* #\ ##0_);_(* \(#\ ##0\);_(* &quot;-&quot;??_);_(@_)"/>
  </numFmts>
  <fonts count="23">
    <font>
      <sz val="11.0"/>
      <color theme="1"/>
      <name val="Calibri"/>
      <scheme val="minor"/>
    </font>
    <font>
      <sz val="12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/>
    <font>
      <b/>
      <sz val="14.0"/>
      <color theme="1"/>
      <name val="Times New Roman"/>
    </font>
    <font>
      <i/>
      <sz val="12.0"/>
      <color theme="1"/>
      <name val="Times New Roman"/>
    </font>
    <font>
      <b/>
      <i/>
      <sz val="12.0"/>
      <color theme="1"/>
      <name val="Times New Roman"/>
    </font>
    <font>
      <b/>
      <sz val="14.0"/>
      <color rgb="FFFF0000"/>
      <name val="Times New Roman"/>
    </font>
    <font>
      <b/>
      <sz val="12.0"/>
      <color theme="4"/>
      <name val="Times New Roman"/>
    </font>
    <font>
      <b/>
      <sz val="12.0"/>
      <color rgb="FF0070C0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  <font>
      <b/>
      <i/>
      <sz val="12.0"/>
      <color rgb="FFFF0000"/>
      <name val="Times New Roman"/>
    </font>
    <font>
      <sz val="12.0"/>
      <color rgb="FFFF0000"/>
      <name val="Times New Roman"/>
    </font>
    <font>
      <sz val="10.0"/>
      <color theme="1"/>
      <name val="Consolas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Times New Roman"/>
    </font>
    <font>
      <sz val="10.0"/>
      <color theme="1"/>
      <name val="Times New Roman"/>
    </font>
    <font>
      <u/>
      <sz val="12.0"/>
      <color rgb="FFFF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</fills>
  <borders count="27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3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shrinkToFit="0" vertical="center" wrapText="1"/>
    </xf>
    <xf borderId="0" fillId="0" fontId="2" numFmtId="3" xfId="0" applyAlignment="1" applyFont="1" applyNumberFormat="1">
      <alignment horizontal="left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2" fontId="3" numFmtId="0" xfId="0" applyAlignment="1" applyBorder="1" applyFont="1">
      <alignment horizontal="center" shrinkToFit="0" vertical="center" wrapText="1"/>
    </xf>
    <xf borderId="3" fillId="2" fontId="3" numFmtId="3" xfId="0" applyAlignment="1" applyBorder="1" applyFont="1" applyNumberFormat="1">
      <alignment horizontal="center" shrinkToFit="0" vertical="center" wrapText="1"/>
    </xf>
    <xf borderId="4" fillId="0" fontId="4" numFmtId="0" xfId="0" applyBorder="1" applyFont="1"/>
    <xf borderId="5" fillId="0" fontId="4" numFmtId="0" xfId="0" applyBorder="1" applyFont="1"/>
    <xf borderId="6" fillId="2" fontId="3" numFmtId="3" xfId="0" applyAlignment="1" applyBorder="1" applyFont="1" applyNumberForma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6" fillId="3" fontId="3" numFmtId="3" xfId="0" applyAlignment="1" applyBorder="1" applyFill="1" applyFont="1" applyNumberFormat="1">
      <alignment horizontal="center" shrinkToFit="0" vertical="center" wrapText="1"/>
    </xf>
    <xf borderId="3" fillId="2" fontId="3" numFmtId="164" xfId="0" applyAlignment="1" applyBorder="1" applyFont="1" applyNumberForma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2" fontId="3" numFmtId="3" xfId="0" applyAlignment="1" applyBorder="1" applyFont="1" applyNumberFormat="1">
      <alignment horizontal="center" shrinkToFit="0" vertical="center" wrapText="1"/>
    </xf>
    <xf borderId="16" fillId="0" fontId="4" numFmtId="0" xfId="0" applyBorder="1" applyFont="1"/>
    <xf borderId="17" fillId="0" fontId="4" numFmtId="0" xfId="0" applyBorder="1" applyFont="1"/>
    <xf borderId="15" fillId="4" fontId="3" numFmtId="3" xfId="0" applyAlignment="1" applyBorder="1" applyFill="1" applyFont="1" applyNumberFormat="1">
      <alignment horizontal="center" shrinkToFit="0" vertical="center" wrapText="1"/>
    </xf>
    <xf borderId="15" fillId="3" fontId="3" numFmtId="3" xfId="0" applyAlignment="1" applyBorder="1" applyFont="1" applyNumberFormat="1">
      <alignment horizontal="center" shrinkToFit="0" vertical="center" wrapText="1"/>
    </xf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2" fontId="3" numFmtId="3" xfId="0" applyAlignment="1" applyBorder="1" applyFont="1" applyNumberFormat="1">
      <alignment horizontal="center" shrinkToFit="0" vertical="center" wrapText="1"/>
    </xf>
    <xf borderId="21" fillId="4" fontId="3" numFmtId="3" xfId="0" applyAlignment="1" applyBorder="1" applyFont="1" applyNumberFormat="1">
      <alignment horizontal="center" shrinkToFit="0" vertical="center" wrapText="1"/>
    </xf>
    <xf borderId="21" fillId="3" fontId="3" numFmtId="3" xfId="0" applyAlignment="1" applyBorder="1" applyFont="1" applyNumberFormat="1">
      <alignment horizontal="center" shrinkToFit="0" vertical="center" wrapText="1"/>
    </xf>
    <xf borderId="21" fillId="2" fontId="3" numFmtId="164" xfId="0" applyAlignment="1" applyBorder="1" applyFont="1" applyNumberFormat="1">
      <alignment horizontal="center" shrinkToFit="0" vertical="center" wrapText="1"/>
    </xf>
    <xf borderId="21" fillId="2" fontId="3" numFmtId="0" xfId="0" applyAlignment="1" applyBorder="1" applyFont="1">
      <alignment horizontal="center" shrinkToFit="0" vertical="center" wrapText="1"/>
    </xf>
    <xf borderId="22" fillId="2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23" fillId="0" fontId="5" numFmtId="165" xfId="0" applyAlignment="1" applyBorder="1" applyFont="1" applyNumberForma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horizontal="center" shrinkToFit="0" vertical="center" wrapText="1"/>
    </xf>
    <xf borderId="21" fillId="0" fontId="5" numFmtId="165" xfId="0" applyAlignment="1" applyBorder="1" applyFont="1" applyNumberFormat="1">
      <alignment shrinkToFit="0" vertical="center" wrapText="1"/>
    </xf>
    <xf borderId="21" fillId="0" fontId="5" numFmtId="3" xfId="0" applyAlignment="1" applyBorder="1" applyFont="1" applyNumberFormat="1">
      <alignment shrinkToFit="0" vertical="center" wrapText="1"/>
    </xf>
    <xf borderId="21" fillId="0" fontId="2" numFmtId="164" xfId="0" applyAlignment="1" applyBorder="1" applyFont="1" applyNumberFormat="1">
      <alignment shrinkToFit="0" vertical="center" wrapText="1"/>
    </xf>
    <xf borderId="22" fillId="0" fontId="2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vertical="center" wrapText="1"/>
    </xf>
    <xf borderId="23" fillId="0" fontId="7" numFmtId="0" xfId="0" applyAlignment="1" applyBorder="1" applyFont="1">
      <alignment horizontal="center" shrinkToFit="0" vertical="center" wrapText="1"/>
    </xf>
    <xf borderId="21" fillId="0" fontId="7" numFmtId="0" xfId="0" applyAlignment="1" applyBorder="1" applyFont="1">
      <alignment horizontal="center" shrinkToFit="0" vertical="center" wrapText="1"/>
    </xf>
    <xf borderId="21" fillId="3" fontId="7" numFmtId="0" xfId="0" applyAlignment="1" applyBorder="1" applyFont="1">
      <alignment shrinkToFit="0" vertical="center" wrapText="1"/>
    </xf>
    <xf borderId="21" fillId="3" fontId="7" numFmtId="3" xfId="0" applyAlignment="1" applyBorder="1" applyFont="1" applyNumberFormat="1">
      <alignment horizontal="center" vertical="center"/>
    </xf>
    <xf borderId="21" fillId="0" fontId="7" numFmtId="3" xfId="0" applyAlignment="1" applyBorder="1" applyFont="1" applyNumberFormat="1">
      <alignment horizontal="center" vertical="center"/>
    </xf>
    <xf borderId="22" fillId="0" fontId="7" numFmtId="3" xfId="0" applyAlignment="1" applyBorder="1" applyFont="1" applyNumberForma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1" fillId="0" fontId="5" numFmtId="0" xfId="0" applyAlignment="1" applyBorder="1" applyFont="1">
      <alignment horizontal="center" shrinkToFit="0" vertical="center" wrapText="1"/>
    </xf>
    <xf borderId="21" fillId="0" fontId="2" numFmtId="3" xfId="0" applyAlignment="1" applyBorder="1" applyFont="1" applyNumberFormat="1">
      <alignment horizontal="center" shrinkToFit="0" vertical="center" wrapText="1"/>
    </xf>
    <xf borderId="22" fillId="0" fontId="2" numFmtId="3" xfId="0" applyAlignment="1" applyBorder="1" applyFont="1" applyNumberFormat="1">
      <alignment horizontal="center" shrinkToFit="0" vertical="center" wrapText="1"/>
    </xf>
    <xf borderId="21" fillId="0" fontId="8" numFmtId="165" xfId="0" applyAlignment="1" applyBorder="1" applyFont="1" applyNumberFormat="1">
      <alignment shrinkToFit="0" vertical="center" wrapText="1"/>
    </xf>
    <xf borderId="21" fillId="0" fontId="8" numFmtId="3" xfId="0" applyAlignment="1" applyBorder="1" applyFont="1" applyNumberFormat="1">
      <alignment shrinkToFit="0" vertical="center" wrapText="1"/>
    </xf>
    <xf borderId="22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23" fillId="2" fontId="3" numFmtId="0" xfId="0" applyAlignment="1" applyBorder="1" applyFont="1">
      <alignment shrinkToFit="0" vertical="center" wrapText="1"/>
    </xf>
    <xf borderId="21" fillId="2" fontId="3" numFmtId="0" xfId="0" applyAlignment="1" applyBorder="1" applyFont="1">
      <alignment shrinkToFit="0" vertical="center" wrapText="1"/>
    </xf>
    <xf borderId="21" fillId="2" fontId="3" numFmtId="3" xfId="0" applyAlignment="1" applyBorder="1" applyFont="1" applyNumberFormat="1">
      <alignment shrinkToFit="0" vertical="center" wrapText="1"/>
    </xf>
    <xf borderId="21" fillId="2" fontId="1" numFmtId="164" xfId="0" applyAlignment="1" applyBorder="1" applyFont="1" applyNumberFormat="1">
      <alignment shrinkToFit="0" vertical="center" wrapText="1"/>
    </xf>
    <xf borderId="22" fillId="2" fontId="1" numFmtId="0" xfId="0" applyAlignment="1" applyBorder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23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horizontal="center" shrinkToFit="0" vertical="center" wrapText="1"/>
    </xf>
    <xf borderId="21" fillId="0" fontId="9" numFmtId="0" xfId="0" applyAlignment="1" applyBorder="1" applyFont="1">
      <alignment shrinkToFit="0" vertical="center" wrapText="1"/>
    </xf>
    <xf borderId="21" fillId="0" fontId="10" numFmtId="3" xfId="0" applyAlignment="1" applyBorder="1" applyFont="1" applyNumberFormat="1">
      <alignment horizontal="center" vertical="center"/>
    </xf>
    <xf borderId="22" fillId="0" fontId="10" numFmtId="3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horizontal="center" shrinkToFit="0" vertical="center" wrapText="1"/>
    </xf>
    <xf borderId="21" fillId="0" fontId="1" numFmtId="0" xfId="0" applyAlignment="1" applyBorder="1" applyFont="1">
      <alignment shrinkToFit="0" vertical="center" wrapText="1"/>
    </xf>
    <xf borderId="21" fillId="0" fontId="1" numFmtId="3" xfId="0" applyAlignment="1" applyBorder="1" applyFont="1" applyNumberFormat="1">
      <alignment shrinkToFit="0" vertical="center" wrapText="1"/>
    </xf>
    <xf borderId="21" fillId="0" fontId="1" numFmtId="164" xfId="0" applyAlignment="1" applyBorder="1" applyFont="1" applyNumberFormat="1">
      <alignment shrinkToFit="0" vertical="center" wrapText="1"/>
    </xf>
    <xf borderId="21" fillId="0" fontId="11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21" fillId="0" fontId="7" numFmtId="0" xfId="0" applyAlignment="1" applyBorder="1" applyFont="1">
      <alignment horizontal="right" shrinkToFit="0" vertical="center" wrapText="1"/>
    </xf>
    <xf borderId="21" fillId="0" fontId="7" numFmtId="3" xfId="0" applyAlignment="1" applyBorder="1" applyFont="1" applyNumberFormat="1">
      <alignment shrinkToFit="0" vertical="center" wrapText="1"/>
    </xf>
    <xf borderId="21" fillId="0" fontId="7" numFmtId="164" xfId="0" applyAlignment="1" applyBorder="1" applyFont="1" applyNumberFormat="1">
      <alignment shrinkToFit="0" vertical="center" wrapText="1"/>
    </xf>
    <xf borderId="21" fillId="0" fontId="6" numFmtId="0" xfId="0" applyAlignment="1" applyBorder="1" applyFont="1">
      <alignment horizontal="right" shrinkToFit="0" vertical="center" wrapText="1"/>
    </xf>
    <xf borderId="22" fillId="0" fontId="1" numFmtId="0" xfId="0" applyAlignment="1" applyBorder="1" applyFont="1">
      <alignment shrinkToFit="0" vertical="center" wrapText="1"/>
    </xf>
    <xf borderId="21" fillId="0" fontId="6" numFmtId="3" xfId="0" applyAlignment="1" applyBorder="1" applyFont="1" applyNumberFormat="1">
      <alignment shrinkToFit="0" vertical="center" wrapText="1"/>
    </xf>
    <xf borderId="22" fillId="0" fontId="13" numFmtId="0" xfId="0" applyAlignment="1" applyBorder="1" applyFont="1">
      <alignment horizontal="left" shrinkToFit="0" vertical="center" wrapText="1"/>
    </xf>
    <xf borderId="21" fillId="0" fontId="7" numFmtId="0" xfId="0" applyAlignment="1" applyBorder="1" applyFont="1">
      <alignment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horizontal="center" shrinkToFit="0" vertical="center" wrapText="1"/>
    </xf>
    <xf borderId="21" fillId="0" fontId="3" numFmtId="3" xfId="0" applyAlignment="1" applyBorder="1" applyFont="1" applyNumberFormat="1">
      <alignment shrinkToFit="0" vertical="center" wrapText="1"/>
    </xf>
    <xf borderId="21" fillId="0" fontId="3" numFmtId="164" xfId="0" applyAlignment="1" applyBorder="1" applyFont="1" applyNumberFormat="1">
      <alignment shrinkToFit="0" vertical="center" wrapText="1"/>
    </xf>
    <xf borderId="21" fillId="0" fontId="3" numFmtId="0" xfId="0" applyAlignment="1" applyBorder="1" applyFont="1">
      <alignment shrinkToFit="0" vertical="center" wrapText="1"/>
    </xf>
    <xf borderId="22" fillId="0" fontId="14" numFmtId="0" xfId="0" applyAlignment="1" applyBorder="1" applyFont="1">
      <alignment horizontal="left" shrinkToFit="0" vertical="center" wrapText="1"/>
    </xf>
    <xf borderId="23" fillId="0" fontId="1" numFmtId="0" xfId="0" applyAlignment="1" applyBorder="1" applyFont="1">
      <alignment shrinkToFit="0" vertical="center" wrapText="1"/>
    </xf>
    <xf borderId="21" fillId="0" fontId="15" numFmtId="3" xfId="0" applyAlignment="1" applyBorder="1" applyFont="1" applyNumberFormat="1">
      <alignment shrinkToFit="0" vertical="center" wrapText="1"/>
    </xf>
    <xf borderId="21" fillId="0" fontId="16" numFmtId="3" xfId="0" applyAlignment="1" applyBorder="1" applyFont="1" applyNumberFormat="1">
      <alignment shrinkToFit="0" vertical="center" wrapText="1"/>
    </xf>
    <xf borderId="21" fillId="0" fontId="17" numFmtId="0" xfId="0" applyAlignment="1" applyBorder="1" applyFont="1">
      <alignment shrinkToFit="0" vertical="center" wrapText="1"/>
    </xf>
    <xf borderId="21" fillId="0" fontId="14" numFmtId="0" xfId="0" applyAlignment="1" applyBorder="1" applyFont="1">
      <alignment horizontal="left" shrinkToFit="0" vertical="center" wrapText="1"/>
    </xf>
    <xf borderId="22" fillId="0" fontId="18" numFmtId="0" xfId="0" applyAlignment="1" applyBorder="1" applyFont="1">
      <alignment horizontal="left" shrinkToFit="0" vertical="center" wrapText="1"/>
    </xf>
    <xf borderId="21" fillId="0" fontId="1" numFmtId="3" xfId="0" applyAlignment="1" applyBorder="1" applyFont="1" applyNumberFormat="1">
      <alignment horizontal="center" shrinkToFit="0" vertical="center" wrapText="1"/>
    </xf>
    <xf borderId="21" fillId="0" fontId="1" numFmtId="166" xfId="0" applyAlignment="1" applyBorder="1" applyFont="1" applyNumberFormat="1">
      <alignment shrinkToFit="0" vertical="center" wrapText="1"/>
    </xf>
    <xf borderId="21" fillId="0" fontId="16" numFmtId="166" xfId="0" applyAlignment="1" applyBorder="1" applyFont="1" applyNumberFormat="1">
      <alignment shrinkToFit="0" vertical="center" wrapText="1"/>
    </xf>
    <xf borderId="21" fillId="0" fontId="13" numFmtId="0" xfId="0" applyAlignment="1" applyBorder="1" applyFont="1">
      <alignment horizontal="left" shrinkToFit="0" vertical="center" wrapText="1"/>
    </xf>
    <xf borderId="22" fillId="0" fontId="1" numFmtId="0" xfId="0" applyAlignment="1" applyBorder="1" applyFont="1">
      <alignment horizontal="left" shrinkToFit="0" vertical="center" wrapText="1"/>
    </xf>
    <xf borderId="21" fillId="2" fontId="1" numFmtId="3" xfId="0" applyAlignment="1" applyBorder="1" applyFont="1" applyNumberFormat="1">
      <alignment shrinkToFit="0" vertical="center" wrapText="1"/>
    </xf>
    <xf borderId="21" fillId="2" fontId="19" numFmtId="0" xfId="0" applyAlignment="1" applyBorder="1" applyFont="1">
      <alignment shrinkToFit="0" vertical="center" wrapText="1"/>
    </xf>
    <xf borderId="22" fillId="2" fontId="20" numFmtId="0" xfId="0" applyAlignment="1" applyBorder="1" applyFont="1">
      <alignment shrinkToFit="0" vertical="center" wrapText="1"/>
    </xf>
    <xf borderId="21" fillId="0" fontId="1" numFmtId="0" xfId="0" applyAlignment="1" applyBorder="1" applyFont="1">
      <alignment horizontal="left" shrinkToFit="0" vertical="center" wrapText="1"/>
    </xf>
    <xf borderId="21" fillId="0" fontId="1" numFmtId="164" xfId="0" applyAlignment="1" applyBorder="1" applyFont="1" applyNumberFormat="1">
      <alignment horizontal="left" shrinkToFit="0" vertical="center" wrapText="1"/>
    </xf>
    <xf borderId="21" fillId="2" fontId="1" numFmtId="164" xfId="0" applyAlignment="1" applyBorder="1" applyFont="1" applyNumberFormat="1">
      <alignment horizontal="center" shrinkToFit="0" vertical="center" wrapText="1"/>
    </xf>
    <xf borderId="21" fillId="0" fontId="3" numFmtId="3" xfId="0" applyAlignment="1" applyBorder="1" applyFont="1" applyNumberFormat="1">
      <alignment horizontal="center" shrinkToFit="0" vertical="center" wrapText="1"/>
    </xf>
    <xf borderId="21" fillId="0" fontId="3" numFmtId="164" xfId="0" applyAlignment="1" applyBorder="1" applyFont="1" applyNumberFormat="1">
      <alignment horizontal="center" shrinkToFit="0" vertical="center" wrapText="1"/>
    </xf>
    <xf borderId="22" fillId="0" fontId="1" numFmtId="164" xfId="0" applyAlignment="1" applyBorder="1" applyFont="1" applyNumberFormat="1">
      <alignment horizontal="left" shrinkToFit="0" vertical="center" wrapText="1"/>
    </xf>
    <xf borderId="22" fillId="0" fontId="16" numFmtId="0" xfId="0" applyAlignment="1" applyBorder="1" applyFont="1">
      <alignment shrinkToFit="0" vertical="center" wrapText="1"/>
    </xf>
    <xf borderId="21" fillId="0" fontId="21" numFmtId="0" xfId="0" applyAlignment="1" applyBorder="1" applyFont="1">
      <alignment horizontal="left" shrinkToFit="0" vertical="center" wrapText="1"/>
    </xf>
    <xf borderId="22" fillId="0" fontId="22" numFmtId="0" xfId="0" applyAlignment="1" applyBorder="1" applyFont="1">
      <alignment shrinkToFit="0" vertical="center" wrapText="1"/>
    </xf>
    <xf borderId="21" fillId="0" fontId="1" numFmtId="167" xfId="0" applyAlignment="1" applyBorder="1" applyFont="1" applyNumberFormat="1">
      <alignment horizontal="center" shrinkToFit="0" vertical="center" wrapText="1"/>
    </xf>
    <xf borderId="24" fillId="0" fontId="1" numFmtId="0" xfId="0" applyAlignment="1" applyBorder="1" applyFont="1">
      <alignment horizontal="center" shrinkToFit="0" vertical="center" wrapText="1"/>
    </xf>
    <xf borderId="25" fillId="0" fontId="1" numFmtId="0" xfId="0" applyAlignment="1" applyBorder="1" applyFont="1">
      <alignment horizontal="center" shrinkToFit="0" vertical="center" wrapText="1"/>
    </xf>
    <xf borderId="25" fillId="0" fontId="6" numFmtId="0" xfId="0" applyAlignment="1" applyBorder="1" applyFont="1">
      <alignment horizontal="right" shrinkToFit="0" vertical="center" wrapText="1"/>
    </xf>
    <xf borderId="25" fillId="0" fontId="1" numFmtId="3" xfId="0" applyAlignment="1" applyBorder="1" applyFont="1" applyNumberFormat="1">
      <alignment shrinkToFit="0" vertical="center" wrapText="1"/>
    </xf>
    <xf borderId="25" fillId="0" fontId="1" numFmtId="164" xfId="0" applyAlignment="1" applyBorder="1" applyFont="1" applyNumberFormat="1">
      <alignment shrinkToFit="0" vertical="center" wrapText="1"/>
    </xf>
    <xf borderId="25" fillId="0" fontId="1" numFmtId="0" xfId="0" applyAlignment="1" applyBorder="1" applyFont="1">
      <alignment shrinkToFit="0" vertical="center" wrapText="1"/>
    </xf>
    <xf borderId="26" fillId="0" fontId="1" numFmtId="0" xfId="0" applyAlignment="1" applyBorder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6.0" ySplit="6.0" topLeftCell="G7" activePane="bottomRight" state="frozen"/>
      <selection activeCell="G1" sqref="G1" pane="topRight"/>
      <selection activeCell="A7" sqref="A7" pane="bottomLeft"/>
      <selection activeCell="G7" sqref="G7" pane="bottomRight"/>
    </sheetView>
  </sheetViews>
  <sheetFormatPr customHeight="1" defaultColWidth="14.43" defaultRowHeight="15.0"/>
  <cols>
    <col customWidth="1" min="1" max="1" width="6.14"/>
    <col customWidth="1" min="2" max="2" width="13.71"/>
    <col customWidth="1" min="3" max="3" width="23.57"/>
    <col customWidth="1" min="4" max="4" width="20.14"/>
    <col customWidth="1" min="5" max="5" width="20.57"/>
    <col customWidth="1" min="6" max="6" width="88.86"/>
    <col customWidth="1" min="7" max="9" width="18.14"/>
    <col customWidth="1" hidden="1" min="10" max="11" width="16.71"/>
    <col customWidth="1" hidden="1" min="12" max="12" width="23.0"/>
    <col customWidth="1" hidden="1" min="13" max="17" width="16.71"/>
    <col customWidth="1" hidden="1" min="18" max="18" width="23.0"/>
    <col customWidth="1" hidden="1" min="19" max="23" width="16.71"/>
    <col customWidth="1" hidden="1" min="24" max="24" width="23.0"/>
    <col customWidth="1" hidden="1" min="25" max="29" width="16.71"/>
    <col customWidth="1" hidden="1" min="30" max="30" width="25.0"/>
    <col customWidth="1" hidden="1" min="31" max="35" width="16.71"/>
    <col customWidth="1" hidden="1" min="36" max="36" width="23.0"/>
    <col customWidth="1" hidden="1" min="37" max="45" width="16.71"/>
    <col customWidth="1" min="46" max="57" width="18.14"/>
    <col customWidth="1" hidden="1" min="58" max="87" width="11.57"/>
    <col customWidth="1" hidden="1" min="88" max="105" width="10.71"/>
    <col customWidth="1" hidden="1" min="106" max="111" width="10.14"/>
    <col customWidth="1" hidden="1" min="112" max="117" width="9.14"/>
    <col customWidth="1" hidden="1" min="118" max="129" width="11.0"/>
    <col customWidth="1" min="130" max="131" width="90.29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</row>
    <row r="2" ht="21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2"/>
      <c r="EA2" s="1"/>
    </row>
    <row r="3" ht="106.5" customHeight="1">
      <c r="A3" s="3"/>
      <c r="B3" s="4" t="s">
        <v>0</v>
      </c>
      <c r="C3" s="5" t="s">
        <v>1</v>
      </c>
      <c r="D3" s="5" t="s">
        <v>2</v>
      </c>
      <c r="E3" s="5" t="s">
        <v>3</v>
      </c>
      <c r="F3" s="5" t="s">
        <v>4</v>
      </c>
      <c r="G3" s="6" t="s">
        <v>5</v>
      </c>
      <c r="H3" s="7"/>
      <c r="I3" s="8"/>
      <c r="J3" s="9" t="s">
        <v>6</v>
      </c>
      <c r="K3" s="10"/>
      <c r="L3" s="10"/>
      <c r="M3" s="10"/>
      <c r="N3" s="10"/>
      <c r="O3" s="11"/>
      <c r="P3" s="9" t="s">
        <v>7</v>
      </c>
      <c r="Q3" s="10"/>
      <c r="R3" s="10"/>
      <c r="S3" s="10"/>
      <c r="T3" s="10"/>
      <c r="U3" s="11"/>
      <c r="V3" s="9" t="s">
        <v>8</v>
      </c>
      <c r="W3" s="10"/>
      <c r="X3" s="10"/>
      <c r="Y3" s="10"/>
      <c r="Z3" s="10"/>
      <c r="AA3" s="11"/>
      <c r="AB3" s="12" t="s">
        <v>9</v>
      </c>
      <c r="AC3" s="10"/>
      <c r="AD3" s="10"/>
      <c r="AE3" s="10"/>
      <c r="AF3" s="10"/>
      <c r="AG3" s="11"/>
      <c r="AH3" s="9" t="s">
        <v>10</v>
      </c>
      <c r="AI3" s="10"/>
      <c r="AJ3" s="10"/>
      <c r="AK3" s="10"/>
      <c r="AL3" s="10"/>
      <c r="AM3" s="11"/>
      <c r="AN3" s="9" t="s">
        <v>11</v>
      </c>
      <c r="AO3" s="10"/>
      <c r="AP3" s="10"/>
      <c r="AQ3" s="10"/>
      <c r="AR3" s="10"/>
      <c r="AS3" s="11"/>
      <c r="AT3" s="9" t="s">
        <v>12</v>
      </c>
      <c r="AU3" s="10"/>
      <c r="AV3" s="10"/>
      <c r="AW3" s="10"/>
      <c r="AX3" s="10"/>
      <c r="AY3" s="11"/>
      <c r="AZ3" s="9" t="s">
        <v>13</v>
      </c>
      <c r="BA3" s="10"/>
      <c r="BB3" s="10"/>
      <c r="BC3" s="10"/>
      <c r="BD3" s="10"/>
      <c r="BE3" s="11"/>
      <c r="BF3" s="9" t="s">
        <v>14</v>
      </c>
      <c r="BG3" s="10"/>
      <c r="BH3" s="10"/>
      <c r="BI3" s="10"/>
      <c r="BJ3" s="10"/>
      <c r="BK3" s="11"/>
      <c r="BL3" s="12" t="s">
        <v>15</v>
      </c>
      <c r="BM3" s="10"/>
      <c r="BN3" s="10"/>
      <c r="BO3" s="10"/>
      <c r="BP3" s="10"/>
      <c r="BQ3" s="11"/>
      <c r="BR3" s="9" t="s">
        <v>16</v>
      </c>
      <c r="BS3" s="10"/>
      <c r="BT3" s="10"/>
      <c r="BU3" s="10"/>
      <c r="BV3" s="10"/>
      <c r="BW3" s="11"/>
      <c r="BX3" s="9" t="s">
        <v>17</v>
      </c>
      <c r="BY3" s="10"/>
      <c r="BZ3" s="10"/>
      <c r="CA3" s="10"/>
      <c r="CB3" s="10"/>
      <c r="CC3" s="11"/>
      <c r="CD3" s="9" t="s">
        <v>18</v>
      </c>
      <c r="CE3" s="10"/>
      <c r="CF3" s="10"/>
      <c r="CG3" s="10"/>
      <c r="CH3" s="10"/>
      <c r="CI3" s="11"/>
      <c r="CJ3" s="12" t="s">
        <v>19</v>
      </c>
      <c r="CK3" s="10"/>
      <c r="CL3" s="10"/>
      <c r="CM3" s="10"/>
      <c r="CN3" s="10"/>
      <c r="CO3" s="11"/>
      <c r="CP3" s="9" t="s">
        <v>20</v>
      </c>
      <c r="CQ3" s="10"/>
      <c r="CR3" s="10"/>
      <c r="CS3" s="10"/>
      <c r="CT3" s="10"/>
      <c r="CU3" s="11"/>
      <c r="CV3" s="9" t="s">
        <v>21</v>
      </c>
      <c r="CW3" s="10"/>
      <c r="CX3" s="10"/>
      <c r="CY3" s="10"/>
      <c r="CZ3" s="10"/>
      <c r="DA3" s="11"/>
      <c r="DB3" s="9" t="s">
        <v>22</v>
      </c>
      <c r="DC3" s="10"/>
      <c r="DD3" s="10"/>
      <c r="DE3" s="10"/>
      <c r="DF3" s="10"/>
      <c r="DG3" s="11"/>
      <c r="DH3" s="12" t="s">
        <v>23</v>
      </c>
      <c r="DI3" s="10"/>
      <c r="DJ3" s="10"/>
      <c r="DK3" s="10"/>
      <c r="DL3" s="10"/>
      <c r="DM3" s="11"/>
      <c r="DN3" s="6" t="s">
        <v>24</v>
      </c>
      <c r="DO3" s="7"/>
      <c r="DP3" s="8"/>
      <c r="DQ3" s="6" t="s">
        <v>25</v>
      </c>
      <c r="DR3" s="7"/>
      <c r="DS3" s="8"/>
      <c r="DT3" s="13" t="s">
        <v>26</v>
      </c>
      <c r="DU3" s="7"/>
      <c r="DV3" s="8"/>
      <c r="DW3" s="14" t="s">
        <v>27</v>
      </c>
      <c r="DX3" s="7"/>
      <c r="DY3" s="8"/>
      <c r="DZ3" s="13" t="s">
        <v>28</v>
      </c>
      <c r="EA3" s="15"/>
    </row>
    <row r="4" ht="21.75" customHeight="1">
      <c r="A4" s="3"/>
      <c r="B4" s="16"/>
      <c r="C4" s="17"/>
      <c r="D4" s="17"/>
      <c r="E4" s="17"/>
      <c r="F4" s="17"/>
      <c r="G4" s="18"/>
      <c r="H4" s="19"/>
      <c r="I4" s="20"/>
      <c r="J4" s="21" t="s">
        <v>29</v>
      </c>
      <c r="K4" s="22"/>
      <c r="L4" s="23"/>
      <c r="M4" s="24" t="s">
        <v>30</v>
      </c>
      <c r="N4" s="22"/>
      <c r="O4" s="23"/>
      <c r="P4" s="21" t="s">
        <v>29</v>
      </c>
      <c r="Q4" s="22"/>
      <c r="R4" s="23"/>
      <c r="S4" s="24" t="s">
        <v>30</v>
      </c>
      <c r="T4" s="22"/>
      <c r="U4" s="23"/>
      <c r="V4" s="21" t="s">
        <v>29</v>
      </c>
      <c r="W4" s="22"/>
      <c r="X4" s="23"/>
      <c r="Y4" s="24" t="s">
        <v>30</v>
      </c>
      <c r="Z4" s="22"/>
      <c r="AA4" s="23"/>
      <c r="AB4" s="25" t="s">
        <v>29</v>
      </c>
      <c r="AC4" s="22"/>
      <c r="AD4" s="23"/>
      <c r="AE4" s="25" t="s">
        <v>30</v>
      </c>
      <c r="AF4" s="22"/>
      <c r="AG4" s="23"/>
      <c r="AH4" s="21" t="s">
        <v>29</v>
      </c>
      <c r="AI4" s="22"/>
      <c r="AJ4" s="23"/>
      <c r="AK4" s="24" t="s">
        <v>30</v>
      </c>
      <c r="AL4" s="22"/>
      <c r="AM4" s="23"/>
      <c r="AN4" s="21" t="s">
        <v>29</v>
      </c>
      <c r="AO4" s="22"/>
      <c r="AP4" s="23"/>
      <c r="AQ4" s="24" t="s">
        <v>30</v>
      </c>
      <c r="AR4" s="22"/>
      <c r="AS4" s="23"/>
      <c r="AT4" s="21" t="s">
        <v>29</v>
      </c>
      <c r="AU4" s="22"/>
      <c r="AV4" s="23"/>
      <c r="AW4" s="24" t="s">
        <v>30</v>
      </c>
      <c r="AX4" s="22"/>
      <c r="AY4" s="23"/>
      <c r="AZ4" s="21" t="s">
        <v>29</v>
      </c>
      <c r="BA4" s="22"/>
      <c r="BB4" s="23"/>
      <c r="BC4" s="24" t="s">
        <v>30</v>
      </c>
      <c r="BD4" s="22"/>
      <c r="BE4" s="23"/>
      <c r="BF4" s="21" t="s">
        <v>29</v>
      </c>
      <c r="BG4" s="22"/>
      <c r="BH4" s="23"/>
      <c r="BI4" s="24" t="s">
        <v>30</v>
      </c>
      <c r="BJ4" s="22"/>
      <c r="BK4" s="23"/>
      <c r="BL4" s="25" t="s">
        <v>29</v>
      </c>
      <c r="BM4" s="22"/>
      <c r="BN4" s="23"/>
      <c r="BO4" s="25" t="s">
        <v>30</v>
      </c>
      <c r="BP4" s="22"/>
      <c r="BQ4" s="23"/>
      <c r="BR4" s="21" t="s">
        <v>29</v>
      </c>
      <c r="BS4" s="22"/>
      <c r="BT4" s="23"/>
      <c r="BU4" s="24" t="s">
        <v>30</v>
      </c>
      <c r="BV4" s="22"/>
      <c r="BW4" s="23"/>
      <c r="BX4" s="21" t="s">
        <v>29</v>
      </c>
      <c r="BY4" s="22"/>
      <c r="BZ4" s="23"/>
      <c r="CA4" s="24" t="s">
        <v>30</v>
      </c>
      <c r="CB4" s="22"/>
      <c r="CC4" s="23"/>
      <c r="CD4" s="21" t="s">
        <v>29</v>
      </c>
      <c r="CE4" s="22"/>
      <c r="CF4" s="23"/>
      <c r="CG4" s="24" t="s">
        <v>30</v>
      </c>
      <c r="CH4" s="22"/>
      <c r="CI4" s="23"/>
      <c r="CJ4" s="25" t="s">
        <v>29</v>
      </c>
      <c r="CK4" s="22"/>
      <c r="CL4" s="23"/>
      <c r="CM4" s="25" t="s">
        <v>30</v>
      </c>
      <c r="CN4" s="22"/>
      <c r="CO4" s="23"/>
      <c r="CP4" s="21" t="s">
        <v>29</v>
      </c>
      <c r="CQ4" s="22"/>
      <c r="CR4" s="23"/>
      <c r="CS4" s="24" t="s">
        <v>30</v>
      </c>
      <c r="CT4" s="22"/>
      <c r="CU4" s="23"/>
      <c r="CV4" s="21" t="s">
        <v>29</v>
      </c>
      <c r="CW4" s="22"/>
      <c r="CX4" s="23"/>
      <c r="CY4" s="24" t="s">
        <v>30</v>
      </c>
      <c r="CZ4" s="22"/>
      <c r="DA4" s="23"/>
      <c r="DB4" s="21" t="s">
        <v>29</v>
      </c>
      <c r="DC4" s="22"/>
      <c r="DD4" s="23"/>
      <c r="DE4" s="24" t="s">
        <v>30</v>
      </c>
      <c r="DF4" s="22"/>
      <c r="DG4" s="23"/>
      <c r="DH4" s="25" t="s">
        <v>29</v>
      </c>
      <c r="DI4" s="22"/>
      <c r="DJ4" s="23"/>
      <c r="DK4" s="25" t="s">
        <v>30</v>
      </c>
      <c r="DL4" s="22"/>
      <c r="DM4" s="23"/>
      <c r="DN4" s="18"/>
      <c r="DO4" s="19"/>
      <c r="DP4" s="20"/>
      <c r="DQ4" s="18"/>
      <c r="DR4" s="19"/>
      <c r="DS4" s="20"/>
      <c r="DT4" s="18"/>
      <c r="DU4" s="19"/>
      <c r="DV4" s="20"/>
      <c r="DW4" s="18"/>
      <c r="DX4" s="19"/>
      <c r="DY4" s="20"/>
      <c r="DZ4" s="18"/>
      <c r="EA4" s="26"/>
    </row>
    <row r="5" ht="21.75" customHeight="1">
      <c r="A5" s="3"/>
      <c r="B5" s="27"/>
      <c r="C5" s="28"/>
      <c r="D5" s="28"/>
      <c r="E5" s="28"/>
      <c r="F5" s="28"/>
      <c r="G5" s="29" t="s">
        <v>31</v>
      </c>
      <c r="H5" s="29" t="s">
        <v>32</v>
      </c>
      <c r="I5" s="29" t="s">
        <v>33</v>
      </c>
      <c r="J5" s="29" t="s">
        <v>31</v>
      </c>
      <c r="K5" s="29" t="s">
        <v>32</v>
      </c>
      <c r="L5" s="29" t="s">
        <v>33</v>
      </c>
      <c r="M5" s="30" t="s">
        <v>31</v>
      </c>
      <c r="N5" s="30" t="s">
        <v>32</v>
      </c>
      <c r="O5" s="30" t="s">
        <v>33</v>
      </c>
      <c r="P5" s="29" t="s">
        <v>31</v>
      </c>
      <c r="Q5" s="29" t="s">
        <v>32</v>
      </c>
      <c r="R5" s="29" t="s">
        <v>33</v>
      </c>
      <c r="S5" s="30" t="s">
        <v>31</v>
      </c>
      <c r="T5" s="30" t="s">
        <v>32</v>
      </c>
      <c r="U5" s="30" t="s">
        <v>33</v>
      </c>
      <c r="V5" s="29" t="s">
        <v>31</v>
      </c>
      <c r="W5" s="29" t="s">
        <v>32</v>
      </c>
      <c r="X5" s="29" t="s">
        <v>33</v>
      </c>
      <c r="Y5" s="30" t="s">
        <v>31</v>
      </c>
      <c r="Z5" s="30" t="s">
        <v>32</v>
      </c>
      <c r="AA5" s="30" t="s">
        <v>33</v>
      </c>
      <c r="AB5" s="31" t="s">
        <v>31</v>
      </c>
      <c r="AC5" s="31" t="s">
        <v>32</v>
      </c>
      <c r="AD5" s="31" t="s">
        <v>33</v>
      </c>
      <c r="AE5" s="31" t="s">
        <v>31</v>
      </c>
      <c r="AF5" s="31" t="s">
        <v>32</v>
      </c>
      <c r="AG5" s="31" t="s">
        <v>33</v>
      </c>
      <c r="AH5" s="29" t="s">
        <v>31</v>
      </c>
      <c r="AI5" s="29" t="s">
        <v>32</v>
      </c>
      <c r="AJ5" s="29" t="s">
        <v>33</v>
      </c>
      <c r="AK5" s="30" t="s">
        <v>31</v>
      </c>
      <c r="AL5" s="30" t="s">
        <v>32</v>
      </c>
      <c r="AM5" s="30" t="s">
        <v>33</v>
      </c>
      <c r="AN5" s="29" t="s">
        <v>31</v>
      </c>
      <c r="AO5" s="29" t="s">
        <v>32</v>
      </c>
      <c r="AP5" s="29" t="s">
        <v>33</v>
      </c>
      <c r="AQ5" s="30" t="s">
        <v>31</v>
      </c>
      <c r="AR5" s="30" t="s">
        <v>32</v>
      </c>
      <c r="AS5" s="30" t="s">
        <v>33</v>
      </c>
      <c r="AT5" s="29" t="s">
        <v>31</v>
      </c>
      <c r="AU5" s="29" t="s">
        <v>32</v>
      </c>
      <c r="AV5" s="29" t="s">
        <v>33</v>
      </c>
      <c r="AW5" s="30" t="s">
        <v>31</v>
      </c>
      <c r="AX5" s="30" t="s">
        <v>32</v>
      </c>
      <c r="AY5" s="30" t="s">
        <v>33</v>
      </c>
      <c r="AZ5" s="29" t="s">
        <v>31</v>
      </c>
      <c r="BA5" s="29" t="s">
        <v>32</v>
      </c>
      <c r="BB5" s="29" t="s">
        <v>33</v>
      </c>
      <c r="BC5" s="30" t="s">
        <v>31</v>
      </c>
      <c r="BD5" s="30" t="s">
        <v>32</v>
      </c>
      <c r="BE5" s="30" t="s">
        <v>33</v>
      </c>
      <c r="BF5" s="29" t="s">
        <v>31</v>
      </c>
      <c r="BG5" s="29" t="s">
        <v>32</v>
      </c>
      <c r="BH5" s="29" t="s">
        <v>33</v>
      </c>
      <c r="BI5" s="30" t="s">
        <v>31</v>
      </c>
      <c r="BJ5" s="30" t="s">
        <v>32</v>
      </c>
      <c r="BK5" s="30" t="s">
        <v>33</v>
      </c>
      <c r="BL5" s="31" t="s">
        <v>31</v>
      </c>
      <c r="BM5" s="31" t="s">
        <v>32</v>
      </c>
      <c r="BN5" s="31" t="s">
        <v>33</v>
      </c>
      <c r="BO5" s="31" t="s">
        <v>31</v>
      </c>
      <c r="BP5" s="31" t="s">
        <v>32</v>
      </c>
      <c r="BQ5" s="31" t="s">
        <v>33</v>
      </c>
      <c r="BR5" s="29" t="s">
        <v>31</v>
      </c>
      <c r="BS5" s="29" t="s">
        <v>32</v>
      </c>
      <c r="BT5" s="29" t="s">
        <v>33</v>
      </c>
      <c r="BU5" s="30" t="s">
        <v>31</v>
      </c>
      <c r="BV5" s="30" t="s">
        <v>32</v>
      </c>
      <c r="BW5" s="30" t="s">
        <v>33</v>
      </c>
      <c r="BX5" s="29" t="s">
        <v>31</v>
      </c>
      <c r="BY5" s="29" t="s">
        <v>32</v>
      </c>
      <c r="BZ5" s="29" t="s">
        <v>33</v>
      </c>
      <c r="CA5" s="30" t="s">
        <v>31</v>
      </c>
      <c r="CB5" s="30" t="s">
        <v>32</v>
      </c>
      <c r="CC5" s="30" t="s">
        <v>33</v>
      </c>
      <c r="CD5" s="29" t="s">
        <v>31</v>
      </c>
      <c r="CE5" s="29" t="s">
        <v>32</v>
      </c>
      <c r="CF5" s="29" t="s">
        <v>33</v>
      </c>
      <c r="CG5" s="30" t="s">
        <v>31</v>
      </c>
      <c r="CH5" s="30" t="s">
        <v>32</v>
      </c>
      <c r="CI5" s="30" t="s">
        <v>33</v>
      </c>
      <c r="CJ5" s="31" t="s">
        <v>31</v>
      </c>
      <c r="CK5" s="31" t="s">
        <v>32</v>
      </c>
      <c r="CL5" s="31" t="s">
        <v>33</v>
      </c>
      <c r="CM5" s="31" t="s">
        <v>31</v>
      </c>
      <c r="CN5" s="31" t="s">
        <v>32</v>
      </c>
      <c r="CO5" s="31" t="s">
        <v>33</v>
      </c>
      <c r="CP5" s="29" t="s">
        <v>31</v>
      </c>
      <c r="CQ5" s="29" t="s">
        <v>32</v>
      </c>
      <c r="CR5" s="29" t="s">
        <v>33</v>
      </c>
      <c r="CS5" s="30" t="s">
        <v>31</v>
      </c>
      <c r="CT5" s="30" t="s">
        <v>32</v>
      </c>
      <c r="CU5" s="30" t="s">
        <v>33</v>
      </c>
      <c r="CV5" s="29" t="s">
        <v>31</v>
      </c>
      <c r="CW5" s="29" t="s">
        <v>32</v>
      </c>
      <c r="CX5" s="29" t="s">
        <v>33</v>
      </c>
      <c r="CY5" s="30" t="s">
        <v>31</v>
      </c>
      <c r="CZ5" s="30" t="s">
        <v>32</v>
      </c>
      <c r="DA5" s="30" t="s">
        <v>33</v>
      </c>
      <c r="DB5" s="29" t="s">
        <v>31</v>
      </c>
      <c r="DC5" s="29" t="s">
        <v>32</v>
      </c>
      <c r="DD5" s="29" t="s">
        <v>33</v>
      </c>
      <c r="DE5" s="30" t="s">
        <v>31</v>
      </c>
      <c r="DF5" s="30" t="s">
        <v>32</v>
      </c>
      <c r="DG5" s="30" t="s">
        <v>33</v>
      </c>
      <c r="DH5" s="31" t="s">
        <v>31</v>
      </c>
      <c r="DI5" s="31" t="s">
        <v>32</v>
      </c>
      <c r="DJ5" s="31" t="s">
        <v>33</v>
      </c>
      <c r="DK5" s="31" t="s">
        <v>31</v>
      </c>
      <c r="DL5" s="31" t="s">
        <v>32</v>
      </c>
      <c r="DM5" s="31" t="s">
        <v>33</v>
      </c>
      <c r="DN5" s="29" t="s">
        <v>31</v>
      </c>
      <c r="DO5" s="29" t="s">
        <v>32</v>
      </c>
      <c r="DP5" s="29" t="s">
        <v>33</v>
      </c>
      <c r="DQ5" s="29" t="s">
        <v>31</v>
      </c>
      <c r="DR5" s="29" t="s">
        <v>32</v>
      </c>
      <c r="DS5" s="29" t="s">
        <v>33</v>
      </c>
      <c r="DT5" s="29" t="s">
        <v>31</v>
      </c>
      <c r="DU5" s="32" t="s">
        <v>32</v>
      </c>
      <c r="DV5" s="32" t="s">
        <v>33</v>
      </c>
      <c r="DW5" s="33" t="s">
        <v>31</v>
      </c>
      <c r="DX5" s="33" t="s">
        <v>32</v>
      </c>
      <c r="DY5" s="33" t="s">
        <v>33</v>
      </c>
      <c r="DZ5" s="33" t="s">
        <v>32</v>
      </c>
      <c r="EA5" s="34" t="s">
        <v>33</v>
      </c>
    </row>
    <row r="6" ht="21.75" customHeight="1">
      <c r="A6" s="35"/>
      <c r="B6" s="36" t="s">
        <v>34</v>
      </c>
      <c r="C6" s="37"/>
      <c r="D6" s="38"/>
      <c r="E6" s="38"/>
      <c r="F6" s="39" t="s">
        <v>35</v>
      </c>
      <c r="G6" s="40">
        <f t="shared" ref="G6:DY6" si="1">G10+G257+G270+G275+G278+G287+G291</f>
        <v>216053220</v>
      </c>
      <c r="H6" s="40">
        <f t="shared" si="1"/>
        <v>109360539</v>
      </c>
      <c r="I6" s="40">
        <f t="shared" si="1"/>
        <v>106692681</v>
      </c>
      <c r="J6" s="40">
        <f t="shared" si="1"/>
        <v>0</v>
      </c>
      <c r="K6" s="40">
        <f t="shared" si="1"/>
        <v>0</v>
      </c>
      <c r="L6" s="40">
        <f t="shared" si="1"/>
        <v>0</v>
      </c>
      <c r="M6" s="40">
        <f t="shared" si="1"/>
        <v>181299.4945</v>
      </c>
      <c r="N6" s="40">
        <f t="shared" si="1"/>
        <v>26585.64</v>
      </c>
      <c r="O6" s="40">
        <f t="shared" si="1"/>
        <v>154713.8545</v>
      </c>
      <c r="P6" s="40">
        <f t="shared" si="1"/>
        <v>0</v>
      </c>
      <c r="Q6" s="40">
        <f t="shared" si="1"/>
        <v>0</v>
      </c>
      <c r="R6" s="40">
        <f t="shared" si="1"/>
        <v>0</v>
      </c>
      <c r="S6" s="40">
        <f t="shared" si="1"/>
        <v>964399.713</v>
      </c>
      <c r="T6" s="40">
        <f t="shared" si="1"/>
        <v>528630.725</v>
      </c>
      <c r="U6" s="40">
        <f t="shared" si="1"/>
        <v>435768.988</v>
      </c>
      <c r="V6" s="40">
        <f t="shared" si="1"/>
        <v>6842196</v>
      </c>
      <c r="W6" s="40">
        <f t="shared" si="1"/>
        <v>0</v>
      </c>
      <c r="X6" s="40">
        <f t="shared" si="1"/>
        <v>6842196</v>
      </c>
      <c r="Y6" s="40">
        <f t="shared" si="1"/>
        <v>11454586.03</v>
      </c>
      <c r="Z6" s="40">
        <f t="shared" si="1"/>
        <v>8319335.526</v>
      </c>
      <c r="AA6" s="40">
        <f t="shared" si="1"/>
        <v>3135250.501</v>
      </c>
      <c r="AB6" s="40">
        <f t="shared" si="1"/>
        <v>6842196</v>
      </c>
      <c r="AC6" s="40">
        <f t="shared" si="1"/>
        <v>0</v>
      </c>
      <c r="AD6" s="40">
        <f t="shared" si="1"/>
        <v>6842196</v>
      </c>
      <c r="AE6" s="40">
        <f t="shared" si="1"/>
        <v>12600285.23</v>
      </c>
      <c r="AF6" s="40">
        <f t="shared" si="1"/>
        <v>8874551.891</v>
      </c>
      <c r="AG6" s="40">
        <f t="shared" si="1"/>
        <v>3725733.344</v>
      </c>
      <c r="AH6" s="40">
        <f t="shared" si="1"/>
        <v>2653501</v>
      </c>
      <c r="AI6" s="40">
        <f t="shared" si="1"/>
        <v>2408982</v>
      </c>
      <c r="AJ6" s="40">
        <f t="shared" si="1"/>
        <v>261979</v>
      </c>
      <c r="AK6" s="40">
        <f t="shared" si="1"/>
        <v>8967642.363</v>
      </c>
      <c r="AL6" s="40">
        <f t="shared" si="1"/>
        <v>5046201.817</v>
      </c>
      <c r="AM6" s="40">
        <f t="shared" si="1"/>
        <v>3921440.547</v>
      </c>
      <c r="AN6" s="40">
        <f t="shared" si="1"/>
        <v>9495697</v>
      </c>
      <c r="AO6" s="40">
        <f t="shared" si="1"/>
        <v>2408982</v>
      </c>
      <c r="AP6" s="40">
        <f t="shared" si="1"/>
        <v>7104175</v>
      </c>
      <c r="AQ6" s="40">
        <f t="shared" si="1"/>
        <v>21567927.6</v>
      </c>
      <c r="AR6" s="40">
        <f t="shared" si="1"/>
        <v>13920753.71</v>
      </c>
      <c r="AS6" s="40">
        <f t="shared" si="1"/>
        <v>7647173.891</v>
      </c>
      <c r="AT6" s="40">
        <f t="shared" si="1"/>
        <v>4012686</v>
      </c>
      <c r="AU6" s="40">
        <f t="shared" si="1"/>
        <v>3614031.8</v>
      </c>
      <c r="AV6" s="40">
        <f t="shared" si="1"/>
        <v>398654.2</v>
      </c>
      <c r="AW6" s="40">
        <f t="shared" si="1"/>
        <v>2819210.09</v>
      </c>
      <c r="AX6" s="40">
        <f t="shared" si="1"/>
        <v>2078574.617</v>
      </c>
      <c r="AY6" s="40">
        <f t="shared" si="1"/>
        <v>740635.4733</v>
      </c>
      <c r="AZ6" s="40">
        <f t="shared" si="1"/>
        <v>13508383</v>
      </c>
      <c r="BA6" s="40">
        <f t="shared" si="1"/>
        <v>6023013.8</v>
      </c>
      <c r="BB6" s="40">
        <f t="shared" si="1"/>
        <v>7502829.2</v>
      </c>
      <c r="BC6" s="40">
        <f t="shared" si="1"/>
        <v>24387137.69</v>
      </c>
      <c r="BD6" s="40">
        <f t="shared" si="1"/>
        <v>15999328.32</v>
      </c>
      <c r="BE6" s="40">
        <f t="shared" si="1"/>
        <v>8387809.364</v>
      </c>
      <c r="BF6" s="40" t="str">
        <f t="shared" si="1"/>
        <v>#REF!</v>
      </c>
      <c r="BG6" s="40" t="str">
        <f t="shared" si="1"/>
        <v>#REF!</v>
      </c>
      <c r="BH6" s="40" t="str">
        <f t="shared" si="1"/>
        <v>#REF!</v>
      </c>
      <c r="BI6" s="40" t="str">
        <f t="shared" si="1"/>
        <v>#REF!</v>
      </c>
      <c r="BJ6" s="40" t="str">
        <f t="shared" si="1"/>
        <v>#REF!</v>
      </c>
      <c r="BK6" s="40" t="str">
        <f t="shared" si="1"/>
        <v>#REF!</v>
      </c>
      <c r="BL6" s="40" t="str">
        <f t="shared" si="1"/>
        <v>#REF!</v>
      </c>
      <c r="BM6" s="40" t="str">
        <f t="shared" si="1"/>
        <v>#REF!</v>
      </c>
      <c r="BN6" s="40" t="str">
        <f t="shared" si="1"/>
        <v>#REF!</v>
      </c>
      <c r="BO6" s="40" t="str">
        <f t="shared" si="1"/>
        <v>#REF!</v>
      </c>
      <c r="BP6" s="40" t="str">
        <f t="shared" si="1"/>
        <v>#REF!</v>
      </c>
      <c r="BQ6" s="40" t="str">
        <f t="shared" si="1"/>
        <v>#REF!</v>
      </c>
      <c r="BR6" s="40" t="str">
        <f t="shared" si="1"/>
        <v>#REF!</v>
      </c>
      <c r="BS6" s="40" t="str">
        <f t="shared" si="1"/>
        <v>#REF!</v>
      </c>
      <c r="BT6" s="40" t="str">
        <f t="shared" si="1"/>
        <v>#REF!</v>
      </c>
      <c r="BU6" s="40" t="str">
        <f t="shared" si="1"/>
        <v>#REF!</v>
      </c>
      <c r="BV6" s="40" t="str">
        <f t="shared" si="1"/>
        <v>#REF!</v>
      </c>
      <c r="BW6" s="40" t="str">
        <f t="shared" si="1"/>
        <v>#REF!</v>
      </c>
      <c r="BX6" s="40" t="str">
        <f t="shared" si="1"/>
        <v>#REF!</v>
      </c>
      <c r="BY6" s="40" t="str">
        <f t="shared" si="1"/>
        <v>#REF!</v>
      </c>
      <c r="BZ6" s="40" t="str">
        <f t="shared" si="1"/>
        <v>#REF!</v>
      </c>
      <c r="CA6" s="40" t="str">
        <f t="shared" si="1"/>
        <v>#REF!</v>
      </c>
      <c r="CB6" s="40" t="str">
        <f t="shared" si="1"/>
        <v>#REF!</v>
      </c>
      <c r="CC6" s="40" t="str">
        <f t="shared" si="1"/>
        <v>#REF!</v>
      </c>
      <c r="CD6" s="40" t="str">
        <f t="shared" si="1"/>
        <v>#REF!</v>
      </c>
      <c r="CE6" s="40" t="str">
        <f t="shared" si="1"/>
        <v>#REF!</v>
      </c>
      <c r="CF6" s="40" t="str">
        <f t="shared" si="1"/>
        <v>#REF!</v>
      </c>
      <c r="CG6" s="40" t="str">
        <f t="shared" si="1"/>
        <v>#REF!</v>
      </c>
      <c r="CH6" s="40" t="str">
        <f t="shared" si="1"/>
        <v>#REF!</v>
      </c>
      <c r="CI6" s="40" t="str">
        <f t="shared" si="1"/>
        <v>#REF!</v>
      </c>
      <c r="CJ6" s="40" t="str">
        <f t="shared" si="1"/>
        <v>#REF!</v>
      </c>
      <c r="CK6" s="40" t="str">
        <f t="shared" si="1"/>
        <v>#REF!</v>
      </c>
      <c r="CL6" s="40" t="str">
        <f t="shared" si="1"/>
        <v>#REF!</v>
      </c>
      <c r="CM6" s="40" t="str">
        <f t="shared" si="1"/>
        <v>#REF!</v>
      </c>
      <c r="CN6" s="40" t="str">
        <f t="shared" si="1"/>
        <v>#REF!</v>
      </c>
      <c r="CO6" s="40" t="str">
        <f t="shared" si="1"/>
        <v>#REF!</v>
      </c>
      <c r="CP6" s="40" t="str">
        <f t="shared" si="1"/>
        <v>#REF!</v>
      </c>
      <c r="CQ6" s="40" t="str">
        <f t="shared" si="1"/>
        <v>#REF!</v>
      </c>
      <c r="CR6" s="40" t="str">
        <f t="shared" si="1"/>
        <v>#REF!</v>
      </c>
      <c r="CS6" s="40" t="str">
        <f t="shared" si="1"/>
        <v>#REF!</v>
      </c>
      <c r="CT6" s="40" t="str">
        <f t="shared" si="1"/>
        <v>#REF!</v>
      </c>
      <c r="CU6" s="40" t="str">
        <f t="shared" si="1"/>
        <v>#REF!</v>
      </c>
      <c r="CV6" s="40" t="str">
        <f t="shared" si="1"/>
        <v>#REF!</v>
      </c>
      <c r="CW6" s="40" t="str">
        <f t="shared" si="1"/>
        <v>#REF!</v>
      </c>
      <c r="CX6" s="40" t="str">
        <f t="shared" si="1"/>
        <v>#REF!</v>
      </c>
      <c r="CY6" s="40" t="str">
        <f t="shared" si="1"/>
        <v>#REF!</v>
      </c>
      <c r="CZ6" s="40" t="str">
        <f t="shared" si="1"/>
        <v>#REF!</v>
      </c>
      <c r="DA6" s="40" t="str">
        <f t="shared" si="1"/>
        <v>#REF!</v>
      </c>
      <c r="DB6" s="40" t="str">
        <f t="shared" si="1"/>
        <v>#REF!</v>
      </c>
      <c r="DC6" s="40" t="str">
        <f t="shared" si="1"/>
        <v>#REF!</v>
      </c>
      <c r="DD6" s="40" t="str">
        <f t="shared" si="1"/>
        <v>#REF!</v>
      </c>
      <c r="DE6" s="40" t="str">
        <f t="shared" si="1"/>
        <v>#REF!</v>
      </c>
      <c r="DF6" s="40" t="str">
        <f t="shared" si="1"/>
        <v>#REF!</v>
      </c>
      <c r="DG6" s="40" t="str">
        <f t="shared" si="1"/>
        <v>#REF!</v>
      </c>
      <c r="DH6" s="40" t="str">
        <f t="shared" si="1"/>
        <v>#REF!</v>
      </c>
      <c r="DI6" s="40" t="str">
        <f t="shared" si="1"/>
        <v>#REF!</v>
      </c>
      <c r="DJ6" s="40" t="str">
        <f t="shared" si="1"/>
        <v>#REF!</v>
      </c>
      <c r="DK6" s="40" t="str">
        <f t="shared" si="1"/>
        <v>#REF!</v>
      </c>
      <c r="DL6" s="40" t="str">
        <f t="shared" si="1"/>
        <v>#REF!</v>
      </c>
      <c r="DM6" s="40" t="str">
        <f t="shared" si="1"/>
        <v>#REF!</v>
      </c>
      <c r="DN6" s="40" t="str">
        <f t="shared" si="1"/>
        <v>#REF!</v>
      </c>
      <c r="DO6" s="40" t="str">
        <f t="shared" si="1"/>
        <v>#REF!</v>
      </c>
      <c r="DP6" s="40" t="str">
        <f t="shared" si="1"/>
        <v>#REF!</v>
      </c>
      <c r="DQ6" s="40" t="str">
        <f t="shared" si="1"/>
        <v>#REF!</v>
      </c>
      <c r="DR6" s="40" t="str">
        <f t="shared" si="1"/>
        <v>#REF!</v>
      </c>
      <c r="DS6" s="40" t="str">
        <f t="shared" si="1"/>
        <v>#REF!</v>
      </c>
      <c r="DT6" s="40" t="str">
        <f t="shared" si="1"/>
        <v>#REF!</v>
      </c>
      <c r="DU6" s="40" t="str">
        <f t="shared" si="1"/>
        <v>#REF!</v>
      </c>
      <c r="DV6" s="40" t="str">
        <f t="shared" si="1"/>
        <v>#REF!</v>
      </c>
      <c r="DW6" s="40" t="str">
        <f t="shared" si="1"/>
        <v>#REF!</v>
      </c>
      <c r="DX6" s="40" t="str">
        <f t="shared" si="1"/>
        <v>#REF!</v>
      </c>
      <c r="DY6" s="40" t="str">
        <f t="shared" si="1"/>
        <v>#REF!</v>
      </c>
      <c r="DZ6" s="41"/>
      <c r="EA6" s="42"/>
    </row>
    <row r="7" ht="21.75" customHeight="1">
      <c r="A7" s="43"/>
      <c r="B7" s="44"/>
      <c r="C7" s="45"/>
      <c r="D7" s="45"/>
      <c r="E7" s="45"/>
      <c r="F7" s="46" t="s">
        <v>36</v>
      </c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>
        <v>2820675.39647</v>
      </c>
      <c r="AX7" s="47">
        <v>2078574.61656</v>
      </c>
      <c r="AY7" s="47">
        <v>742100.77991</v>
      </c>
      <c r="AZ7" s="47"/>
      <c r="BA7" s="47"/>
      <c r="BB7" s="47"/>
      <c r="BC7" s="47">
        <v>2.4391725316150006E7</v>
      </c>
      <c r="BD7" s="47">
        <v>1.599932832411E7</v>
      </c>
      <c r="BE7" s="47">
        <v>8392396.99204</v>
      </c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9"/>
    </row>
    <row r="8" ht="21.75" customHeight="1">
      <c r="A8" s="50"/>
      <c r="B8" s="51"/>
      <c r="C8" s="52"/>
      <c r="D8" s="52"/>
      <c r="E8" s="52"/>
      <c r="F8" s="39" t="s">
        <v>37</v>
      </c>
      <c r="G8" s="40">
        <f t="shared" ref="G8:DY8" si="2">G11+G251+G252+G260+G261+G262+G263+G264+G265+G271+G272+G273+G274+G276+G277+G279+G280+G289+G292+G293+G294+G295+G296+G297</f>
        <v>147393534</v>
      </c>
      <c r="H8" s="40">
        <f t="shared" si="2"/>
        <v>49991112</v>
      </c>
      <c r="I8" s="40">
        <f t="shared" si="2"/>
        <v>97402422</v>
      </c>
      <c r="J8" s="40">
        <f t="shared" si="2"/>
        <v>0</v>
      </c>
      <c r="K8" s="40">
        <f t="shared" si="2"/>
        <v>0</v>
      </c>
      <c r="L8" s="40">
        <f t="shared" si="2"/>
        <v>0</v>
      </c>
      <c r="M8" s="40">
        <f t="shared" si="2"/>
        <v>157305.8545</v>
      </c>
      <c r="N8" s="40">
        <f t="shared" si="2"/>
        <v>2592</v>
      </c>
      <c r="O8" s="40">
        <f t="shared" si="2"/>
        <v>154713.8545</v>
      </c>
      <c r="P8" s="40">
        <f t="shared" si="2"/>
        <v>0</v>
      </c>
      <c r="Q8" s="40">
        <f t="shared" si="2"/>
        <v>0</v>
      </c>
      <c r="R8" s="40">
        <f t="shared" si="2"/>
        <v>0</v>
      </c>
      <c r="S8" s="40">
        <f t="shared" si="2"/>
        <v>757452.239</v>
      </c>
      <c r="T8" s="40">
        <f t="shared" si="2"/>
        <v>321683.251</v>
      </c>
      <c r="U8" s="40">
        <f t="shared" si="2"/>
        <v>435768.988</v>
      </c>
      <c r="V8" s="40">
        <f t="shared" si="2"/>
        <v>1644341</v>
      </c>
      <c r="W8" s="40">
        <f t="shared" si="2"/>
        <v>0</v>
      </c>
      <c r="X8" s="40">
        <f t="shared" si="2"/>
        <v>1644341</v>
      </c>
      <c r="Y8" s="40">
        <f t="shared" si="2"/>
        <v>11454586.03</v>
      </c>
      <c r="Z8" s="40">
        <f t="shared" si="2"/>
        <v>8319335.526</v>
      </c>
      <c r="AA8" s="40">
        <f t="shared" si="2"/>
        <v>3135250.501</v>
      </c>
      <c r="AB8" s="40">
        <f t="shared" si="2"/>
        <v>1644341</v>
      </c>
      <c r="AC8" s="40">
        <f t="shared" si="2"/>
        <v>0</v>
      </c>
      <c r="AD8" s="40">
        <f t="shared" si="2"/>
        <v>1644341</v>
      </c>
      <c r="AE8" s="40">
        <f t="shared" si="2"/>
        <v>12369344.12</v>
      </c>
      <c r="AF8" s="40">
        <f t="shared" si="2"/>
        <v>8643610.777</v>
      </c>
      <c r="AG8" s="40">
        <f t="shared" si="2"/>
        <v>3725733.344</v>
      </c>
      <c r="AH8" s="40">
        <f t="shared" si="2"/>
        <v>2575898</v>
      </c>
      <c r="AI8" s="40">
        <f t="shared" si="2"/>
        <v>2399860</v>
      </c>
      <c r="AJ8" s="40">
        <f t="shared" si="2"/>
        <v>193499</v>
      </c>
      <c r="AK8" s="40">
        <f t="shared" si="2"/>
        <v>6390820.726</v>
      </c>
      <c r="AL8" s="40">
        <f t="shared" si="2"/>
        <v>5041340.601</v>
      </c>
      <c r="AM8" s="40">
        <f t="shared" si="2"/>
        <v>1349480.125</v>
      </c>
      <c r="AN8" s="40">
        <f t="shared" si="2"/>
        <v>4220239</v>
      </c>
      <c r="AO8" s="40">
        <f t="shared" si="2"/>
        <v>2399860</v>
      </c>
      <c r="AP8" s="40">
        <f t="shared" si="2"/>
        <v>1837840</v>
      </c>
      <c r="AQ8" s="40">
        <f t="shared" si="2"/>
        <v>18760164.85</v>
      </c>
      <c r="AR8" s="40">
        <f t="shared" si="2"/>
        <v>13684951.38</v>
      </c>
      <c r="AS8" s="40">
        <f t="shared" si="2"/>
        <v>5075213.469</v>
      </c>
      <c r="AT8" s="40">
        <f t="shared" si="2"/>
        <v>3896282</v>
      </c>
      <c r="AU8" s="40">
        <f t="shared" si="2"/>
        <v>3600348.8</v>
      </c>
      <c r="AV8" s="40">
        <f t="shared" si="2"/>
        <v>295933.2</v>
      </c>
      <c r="AW8" s="40">
        <f t="shared" si="2"/>
        <v>2608691.203</v>
      </c>
      <c r="AX8" s="40">
        <f t="shared" si="2"/>
        <v>2078140.316</v>
      </c>
      <c r="AY8" s="40">
        <f t="shared" si="2"/>
        <v>530550.8869</v>
      </c>
      <c r="AZ8" s="40">
        <f t="shared" si="2"/>
        <v>8116521</v>
      </c>
      <c r="BA8" s="40">
        <f t="shared" si="2"/>
        <v>6000208.8</v>
      </c>
      <c r="BB8" s="40">
        <f t="shared" si="2"/>
        <v>2133773.2</v>
      </c>
      <c r="BC8" s="40">
        <f t="shared" si="2"/>
        <v>21368856.05</v>
      </c>
      <c r="BD8" s="40">
        <f t="shared" si="2"/>
        <v>15763091.69</v>
      </c>
      <c r="BE8" s="40">
        <f t="shared" si="2"/>
        <v>5605764.356</v>
      </c>
      <c r="BF8" s="40" t="str">
        <f t="shared" si="2"/>
        <v>#REF!</v>
      </c>
      <c r="BG8" s="40" t="str">
        <f t="shared" si="2"/>
        <v>#REF!</v>
      </c>
      <c r="BH8" s="40" t="str">
        <f t="shared" si="2"/>
        <v>#REF!</v>
      </c>
      <c r="BI8" s="40" t="str">
        <f t="shared" si="2"/>
        <v>#REF!</v>
      </c>
      <c r="BJ8" s="40" t="str">
        <f t="shared" si="2"/>
        <v>#REF!</v>
      </c>
      <c r="BK8" s="40" t="str">
        <f t="shared" si="2"/>
        <v>#REF!</v>
      </c>
      <c r="BL8" s="40" t="str">
        <f t="shared" si="2"/>
        <v>#REF!</v>
      </c>
      <c r="BM8" s="40" t="str">
        <f t="shared" si="2"/>
        <v>#REF!</v>
      </c>
      <c r="BN8" s="40" t="str">
        <f t="shared" si="2"/>
        <v>#REF!</v>
      </c>
      <c r="BO8" s="40" t="str">
        <f t="shared" si="2"/>
        <v>#REF!</v>
      </c>
      <c r="BP8" s="40" t="str">
        <f t="shared" si="2"/>
        <v>#REF!</v>
      </c>
      <c r="BQ8" s="40" t="str">
        <f t="shared" si="2"/>
        <v>#REF!</v>
      </c>
      <c r="BR8" s="40" t="str">
        <f t="shared" si="2"/>
        <v>#REF!</v>
      </c>
      <c r="BS8" s="40" t="str">
        <f t="shared" si="2"/>
        <v>#REF!</v>
      </c>
      <c r="BT8" s="40" t="str">
        <f t="shared" si="2"/>
        <v>#REF!</v>
      </c>
      <c r="BU8" s="40" t="str">
        <f t="shared" si="2"/>
        <v>#REF!</v>
      </c>
      <c r="BV8" s="40" t="str">
        <f t="shared" si="2"/>
        <v>#REF!</v>
      </c>
      <c r="BW8" s="40" t="str">
        <f t="shared" si="2"/>
        <v>#REF!</v>
      </c>
      <c r="BX8" s="40" t="str">
        <f t="shared" si="2"/>
        <v>#REF!</v>
      </c>
      <c r="BY8" s="40" t="str">
        <f t="shared" si="2"/>
        <v>#REF!</v>
      </c>
      <c r="BZ8" s="40" t="str">
        <f t="shared" si="2"/>
        <v>#REF!</v>
      </c>
      <c r="CA8" s="40" t="str">
        <f t="shared" si="2"/>
        <v>#REF!</v>
      </c>
      <c r="CB8" s="40" t="str">
        <f t="shared" si="2"/>
        <v>#REF!</v>
      </c>
      <c r="CC8" s="40" t="str">
        <f t="shared" si="2"/>
        <v>#REF!</v>
      </c>
      <c r="CD8" s="40" t="str">
        <f t="shared" si="2"/>
        <v>#REF!</v>
      </c>
      <c r="CE8" s="40" t="str">
        <f t="shared" si="2"/>
        <v>#REF!</v>
      </c>
      <c r="CF8" s="40" t="str">
        <f t="shared" si="2"/>
        <v>#REF!</v>
      </c>
      <c r="CG8" s="40" t="str">
        <f t="shared" si="2"/>
        <v>#REF!</v>
      </c>
      <c r="CH8" s="40" t="str">
        <f t="shared" si="2"/>
        <v>#REF!</v>
      </c>
      <c r="CI8" s="40" t="str">
        <f t="shared" si="2"/>
        <v>#REF!</v>
      </c>
      <c r="CJ8" s="40" t="str">
        <f t="shared" si="2"/>
        <v>#REF!</v>
      </c>
      <c r="CK8" s="40" t="str">
        <f t="shared" si="2"/>
        <v>#REF!</v>
      </c>
      <c r="CL8" s="40" t="str">
        <f t="shared" si="2"/>
        <v>#REF!</v>
      </c>
      <c r="CM8" s="40" t="str">
        <f t="shared" si="2"/>
        <v>#REF!</v>
      </c>
      <c r="CN8" s="40" t="str">
        <f t="shared" si="2"/>
        <v>#REF!</v>
      </c>
      <c r="CO8" s="40" t="str">
        <f t="shared" si="2"/>
        <v>#REF!</v>
      </c>
      <c r="CP8" s="40" t="str">
        <f t="shared" si="2"/>
        <v>#REF!</v>
      </c>
      <c r="CQ8" s="40" t="str">
        <f t="shared" si="2"/>
        <v>#REF!</v>
      </c>
      <c r="CR8" s="40" t="str">
        <f t="shared" si="2"/>
        <v>#REF!</v>
      </c>
      <c r="CS8" s="40" t="str">
        <f t="shared" si="2"/>
        <v>#REF!</v>
      </c>
      <c r="CT8" s="40" t="str">
        <f t="shared" si="2"/>
        <v>#REF!</v>
      </c>
      <c r="CU8" s="40" t="str">
        <f t="shared" si="2"/>
        <v>#REF!</v>
      </c>
      <c r="CV8" s="40" t="str">
        <f t="shared" si="2"/>
        <v>#REF!</v>
      </c>
      <c r="CW8" s="40" t="str">
        <f t="shared" si="2"/>
        <v>#REF!</v>
      </c>
      <c r="CX8" s="40" t="str">
        <f t="shared" si="2"/>
        <v>#REF!</v>
      </c>
      <c r="CY8" s="40" t="str">
        <f t="shared" si="2"/>
        <v>#REF!</v>
      </c>
      <c r="CZ8" s="40" t="str">
        <f t="shared" si="2"/>
        <v>#REF!</v>
      </c>
      <c r="DA8" s="40" t="str">
        <f t="shared" si="2"/>
        <v>#REF!</v>
      </c>
      <c r="DB8" s="40" t="str">
        <f t="shared" si="2"/>
        <v>#REF!</v>
      </c>
      <c r="DC8" s="40" t="str">
        <f t="shared" si="2"/>
        <v>#REF!</v>
      </c>
      <c r="DD8" s="40" t="str">
        <f t="shared" si="2"/>
        <v>#REF!</v>
      </c>
      <c r="DE8" s="40" t="str">
        <f t="shared" si="2"/>
        <v>#REF!</v>
      </c>
      <c r="DF8" s="40" t="str">
        <f t="shared" si="2"/>
        <v>#REF!</v>
      </c>
      <c r="DG8" s="40" t="str">
        <f t="shared" si="2"/>
        <v>#REF!</v>
      </c>
      <c r="DH8" s="40" t="str">
        <f t="shared" si="2"/>
        <v>#REF!</v>
      </c>
      <c r="DI8" s="40" t="str">
        <f t="shared" si="2"/>
        <v>#REF!</v>
      </c>
      <c r="DJ8" s="40" t="str">
        <f t="shared" si="2"/>
        <v>#REF!</v>
      </c>
      <c r="DK8" s="40" t="str">
        <f t="shared" si="2"/>
        <v>#REF!</v>
      </c>
      <c r="DL8" s="40" t="str">
        <f t="shared" si="2"/>
        <v>#REF!</v>
      </c>
      <c r="DM8" s="40" t="str">
        <f t="shared" si="2"/>
        <v>#REF!</v>
      </c>
      <c r="DN8" s="40" t="str">
        <f t="shared" si="2"/>
        <v>#REF!</v>
      </c>
      <c r="DO8" s="40" t="str">
        <f t="shared" si="2"/>
        <v>#REF!</v>
      </c>
      <c r="DP8" s="40" t="str">
        <f t="shared" si="2"/>
        <v>#REF!</v>
      </c>
      <c r="DQ8" s="40" t="str">
        <f t="shared" si="2"/>
        <v>#REF!</v>
      </c>
      <c r="DR8" s="40" t="str">
        <f t="shared" si="2"/>
        <v>#REF!</v>
      </c>
      <c r="DS8" s="40" t="str">
        <f t="shared" si="2"/>
        <v>#REF!</v>
      </c>
      <c r="DT8" s="40" t="str">
        <f t="shared" si="2"/>
        <v>#REF!</v>
      </c>
      <c r="DU8" s="40" t="str">
        <f t="shared" si="2"/>
        <v>#REF!</v>
      </c>
      <c r="DV8" s="40" t="str">
        <f t="shared" si="2"/>
        <v>#REF!</v>
      </c>
      <c r="DW8" s="40" t="str">
        <f t="shared" si="2"/>
        <v>#REF!</v>
      </c>
      <c r="DX8" s="40" t="str">
        <f t="shared" si="2"/>
        <v>#REF!</v>
      </c>
      <c r="DY8" s="40" t="str">
        <f t="shared" si="2"/>
        <v>#REF!</v>
      </c>
      <c r="DZ8" s="53"/>
      <c r="EA8" s="54"/>
    </row>
    <row r="9" ht="21.75" customHeight="1">
      <c r="A9" s="50"/>
      <c r="B9" s="51"/>
      <c r="C9" s="52"/>
      <c r="D9" s="52"/>
      <c r="E9" s="52"/>
      <c r="F9" s="55" t="s">
        <v>38</v>
      </c>
      <c r="G9" s="56">
        <f t="shared" ref="G9:DY9" si="3">G8-G6</f>
        <v>-68659686</v>
      </c>
      <c r="H9" s="56">
        <f t="shared" si="3"/>
        <v>-59369427</v>
      </c>
      <c r="I9" s="56">
        <f t="shared" si="3"/>
        <v>-9290259</v>
      </c>
      <c r="J9" s="56">
        <f t="shared" si="3"/>
        <v>0</v>
      </c>
      <c r="K9" s="56">
        <f t="shared" si="3"/>
        <v>0</v>
      </c>
      <c r="L9" s="56">
        <f t="shared" si="3"/>
        <v>0</v>
      </c>
      <c r="M9" s="56">
        <f t="shared" si="3"/>
        <v>-23993.64</v>
      </c>
      <c r="N9" s="56">
        <f t="shared" si="3"/>
        <v>-23993.64</v>
      </c>
      <c r="O9" s="56">
        <f t="shared" si="3"/>
        <v>0</v>
      </c>
      <c r="P9" s="56">
        <f t="shared" si="3"/>
        <v>0</v>
      </c>
      <c r="Q9" s="56">
        <f t="shared" si="3"/>
        <v>0</v>
      </c>
      <c r="R9" s="56">
        <f t="shared" si="3"/>
        <v>0</v>
      </c>
      <c r="S9" s="56">
        <f t="shared" si="3"/>
        <v>-206947.474</v>
      </c>
      <c r="T9" s="56">
        <f t="shared" si="3"/>
        <v>-206947.474</v>
      </c>
      <c r="U9" s="56">
        <f t="shared" si="3"/>
        <v>0</v>
      </c>
      <c r="V9" s="56">
        <f t="shared" si="3"/>
        <v>-5197855</v>
      </c>
      <c r="W9" s="56">
        <f t="shared" si="3"/>
        <v>0</v>
      </c>
      <c r="X9" s="56">
        <f t="shared" si="3"/>
        <v>-5197855</v>
      </c>
      <c r="Y9" s="56">
        <f t="shared" si="3"/>
        <v>0</v>
      </c>
      <c r="Z9" s="56">
        <f t="shared" si="3"/>
        <v>0</v>
      </c>
      <c r="AA9" s="56">
        <f t="shared" si="3"/>
        <v>0</v>
      </c>
      <c r="AB9" s="56">
        <f t="shared" si="3"/>
        <v>-5197855</v>
      </c>
      <c r="AC9" s="56">
        <f t="shared" si="3"/>
        <v>0</v>
      </c>
      <c r="AD9" s="56">
        <f t="shared" si="3"/>
        <v>-5197855</v>
      </c>
      <c r="AE9" s="56">
        <f t="shared" si="3"/>
        <v>-230941.114</v>
      </c>
      <c r="AF9" s="56">
        <f t="shared" si="3"/>
        <v>-230941.114</v>
      </c>
      <c r="AG9" s="56">
        <f t="shared" si="3"/>
        <v>0</v>
      </c>
      <c r="AH9" s="56">
        <f t="shared" si="3"/>
        <v>-77603</v>
      </c>
      <c r="AI9" s="56">
        <f t="shared" si="3"/>
        <v>-9122</v>
      </c>
      <c r="AJ9" s="56">
        <f t="shared" si="3"/>
        <v>-68480</v>
      </c>
      <c r="AK9" s="56">
        <f t="shared" si="3"/>
        <v>-2576821.638</v>
      </c>
      <c r="AL9" s="56">
        <f t="shared" si="3"/>
        <v>-4861.216</v>
      </c>
      <c r="AM9" s="56">
        <f t="shared" si="3"/>
        <v>-2571960.422</v>
      </c>
      <c r="AN9" s="56">
        <f t="shared" si="3"/>
        <v>-5275458</v>
      </c>
      <c r="AO9" s="56">
        <f t="shared" si="3"/>
        <v>-9122</v>
      </c>
      <c r="AP9" s="56">
        <f t="shared" si="3"/>
        <v>-5266335</v>
      </c>
      <c r="AQ9" s="56">
        <f t="shared" si="3"/>
        <v>-2807762.752</v>
      </c>
      <c r="AR9" s="56">
        <f t="shared" si="3"/>
        <v>-235802.33</v>
      </c>
      <c r="AS9" s="56">
        <f t="shared" si="3"/>
        <v>-2571960.422</v>
      </c>
      <c r="AT9" s="56">
        <f t="shared" si="3"/>
        <v>-116404</v>
      </c>
      <c r="AU9" s="56">
        <f t="shared" si="3"/>
        <v>-13683</v>
      </c>
      <c r="AV9" s="56">
        <f t="shared" si="3"/>
        <v>-102721</v>
      </c>
      <c r="AW9" s="56">
        <f t="shared" si="3"/>
        <v>-210518.8868</v>
      </c>
      <c r="AX9" s="56">
        <f t="shared" si="3"/>
        <v>-434.30047</v>
      </c>
      <c r="AY9" s="56">
        <f t="shared" si="3"/>
        <v>-210084.5864</v>
      </c>
      <c r="AZ9" s="56">
        <f t="shared" si="3"/>
        <v>-5391862</v>
      </c>
      <c r="BA9" s="56">
        <f t="shared" si="3"/>
        <v>-22805</v>
      </c>
      <c r="BB9" s="56">
        <f t="shared" si="3"/>
        <v>-5369056</v>
      </c>
      <c r="BC9" s="56">
        <f t="shared" si="3"/>
        <v>-3018281.639</v>
      </c>
      <c r="BD9" s="56">
        <f t="shared" si="3"/>
        <v>-236236.6305</v>
      </c>
      <c r="BE9" s="56">
        <f t="shared" si="3"/>
        <v>-2782045.008</v>
      </c>
      <c r="BF9" s="56" t="str">
        <f t="shared" si="3"/>
        <v>#REF!</v>
      </c>
      <c r="BG9" s="56" t="str">
        <f t="shared" si="3"/>
        <v>#REF!</v>
      </c>
      <c r="BH9" s="56" t="str">
        <f t="shared" si="3"/>
        <v>#REF!</v>
      </c>
      <c r="BI9" s="56" t="str">
        <f t="shared" si="3"/>
        <v>#REF!</v>
      </c>
      <c r="BJ9" s="56" t="str">
        <f t="shared" si="3"/>
        <v>#REF!</v>
      </c>
      <c r="BK9" s="56" t="str">
        <f t="shared" si="3"/>
        <v>#REF!</v>
      </c>
      <c r="BL9" s="56" t="str">
        <f t="shared" si="3"/>
        <v>#REF!</v>
      </c>
      <c r="BM9" s="56" t="str">
        <f t="shared" si="3"/>
        <v>#REF!</v>
      </c>
      <c r="BN9" s="56" t="str">
        <f t="shared" si="3"/>
        <v>#REF!</v>
      </c>
      <c r="BO9" s="56" t="str">
        <f t="shared" si="3"/>
        <v>#REF!</v>
      </c>
      <c r="BP9" s="56" t="str">
        <f t="shared" si="3"/>
        <v>#REF!</v>
      </c>
      <c r="BQ9" s="56" t="str">
        <f t="shared" si="3"/>
        <v>#REF!</v>
      </c>
      <c r="BR9" s="56" t="str">
        <f t="shared" si="3"/>
        <v>#REF!</v>
      </c>
      <c r="BS9" s="56" t="str">
        <f t="shared" si="3"/>
        <v>#REF!</v>
      </c>
      <c r="BT9" s="56" t="str">
        <f t="shared" si="3"/>
        <v>#REF!</v>
      </c>
      <c r="BU9" s="56" t="str">
        <f t="shared" si="3"/>
        <v>#REF!</v>
      </c>
      <c r="BV9" s="56" t="str">
        <f t="shared" si="3"/>
        <v>#REF!</v>
      </c>
      <c r="BW9" s="56" t="str">
        <f t="shared" si="3"/>
        <v>#REF!</v>
      </c>
      <c r="BX9" s="56" t="str">
        <f t="shared" si="3"/>
        <v>#REF!</v>
      </c>
      <c r="BY9" s="56" t="str">
        <f t="shared" si="3"/>
        <v>#REF!</v>
      </c>
      <c r="BZ9" s="56" t="str">
        <f t="shared" si="3"/>
        <v>#REF!</v>
      </c>
      <c r="CA9" s="56" t="str">
        <f t="shared" si="3"/>
        <v>#REF!</v>
      </c>
      <c r="CB9" s="56" t="str">
        <f t="shared" si="3"/>
        <v>#REF!</v>
      </c>
      <c r="CC9" s="56" t="str">
        <f t="shared" si="3"/>
        <v>#REF!</v>
      </c>
      <c r="CD9" s="56" t="str">
        <f t="shared" si="3"/>
        <v>#REF!</v>
      </c>
      <c r="CE9" s="56" t="str">
        <f t="shared" si="3"/>
        <v>#REF!</v>
      </c>
      <c r="CF9" s="56" t="str">
        <f t="shared" si="3"/>
        <v>#REF!</v>
      </c>
      <c r="CG9" s="56" t="str">
        <f t="shared" si="3"/>
        <v>#REF!</v>
      </c>
      <c r="CH9" s="56" t="str">
        <f t="shared" si="3"/>
        <v>#REF!</v>
      </c>
      <c r="CI9" s="56" t="str">
        <f t="shared" si="3"/>
        <v>#REF!</v>
      </c>
      <c r="CJ9" s="56" t="str">
        <f t="shared" si="3"/>
        <v>#REF!</v>
      </c>
      <c r="CK9" s="56" t="str">
        <f t="shared" si="3"/>
        <v>#REF!</v>
      </c>
      <c r="CL9" s="56" t="str">
        <f t="shared" si="3"/>
        <v>#REF!</v>
      </c>
      <c r="CM9" s="56" t="str">
        <f t="shared" si="3"/>
        <v>#REF!</v>
      </c>
      <c r="CN9" s="56" t="str">
        <f t="shared" si="3"/>
        <v>#REF!</v>
      </c>
      <c r="CO9" s="56" t="str">
        <f t="shared" si="3"/>
        <v>#REF!</v>
      </c>
      <c r="CP9" s="56" t="str">
        <f t="shared" si="3"/>
        <v>#REF!</v>
      </c>
      <c r="CQ9" s="56" t="str">
        <f t="shared" si="3"/>
        <v>#REF!</v>
      </c>
      <c r="CR9" s="56" t="str">
        <f t="shared" si="3"/>
        <v>#REF!</v>
      </c>
      <c r="CS9" s="56" t="str">
        <f t="shared" si="3"/>
        <v>#REF!</v>
      </c>
      <c r="CT9" s="56" t="str">
        <f t="shared" si="3"/>
        <v>#REF!</v>
      </c>
      <c r="CU9" s="56" t="str">
        <f t="shared" si="3"/>
        <v>#REF!</v>
      </c>
      <c r="CV9" s="56" t="str">
        <f t="shared" si="3"/>
        <v>#REF!</v>
      </c>
      <c r="CW9" s="56" t="str">
        <f t="shared" si="3"/>
        <v>#REF!</v>
      </c>
      <c r="CX9" s="56" t="str">
        <f t="shared" si="3"/>
        <v>#REF!</v>
      </c>
      <c r="CY9" s="56" t="str">
        <f t="shared" si="3"/>
        <v>#REF!</v>
      </c>
      <c r="CZ9" s="56" t="str">
        <f t="shared" si="3"/>
        <v>#REF!</v>
      </c>
      <c r="DA9" s="56" t="str">
        <f t="shared" si="3"/>
        <v>#REF!</v>
      </c>
      <c r="DB9" s="56" t="str">
        <f t="shared" si="3"/>
        <v>#REF!</v>
      </c>
      <c r="DC9" s="56" t="str">
        <f t="shared" si="3"/>
        <v>#REF!</v>
      </c>
      <c r="DD9" s="56" t="str">
        <f t="shared" si="3"/>
        <v>#REF!</v>
      </c>
      <c r="DE9" s="56" t="str">
        <f t="shared" si="3"/>
        <v>#REF!</v>
      </c>
      <c r="DF9" s="56" t="str">
        <f t="shared" si="3"/>
        <v>#REF!</v>
      </c>
      <c r="DG9" s="56" t="str">
        <f t="shared" si="3"/>
        <v>#REF!</v>
      </c>
      <c r="DH9" s="56" t="str">
        <f t="shared" si="3"/>
        <v>#REF!</v>
      </c>
      <c r="DI9" s="56" t="str">
        <f t="shared" si="3"/>
        <v>#REF!</v>
      </c>
      <c r="DJ9" s="56" t="str">
        <f t="shared" si="3"/>
        <v>#REF!</v>
      </c>
      <c r="DK9" s="56" t="str">
        <f t="shared" si="3"/>
        <v>#REF!</v>
      </c>
      <c r="DL9" s="56" t="str">
        <f t="shared" si="3"/>
        <v>#REF!</v>
      </c>
      <c r="DM9" s="56" t="str">
        <f t="shared" si="3"/>
        <v>#REF!</v>
      </c>
      <c r="DN9" s="56" t="str">
        <f t="shared" si="3"/>
        <v>#REF!</v>
      </c>
      <c r="DO9" s="56" t="str">
        <f t="shared" si="3"/>
        <v>#REF!</v>
      </c>
      <c r="DP9" s="56" t="str">
        <f t="shared" si="3"/>
        <v>#REF!</v>
      </c>
      <c r="DQ9" s="56" t="str">
        <f t="shared" si="3"/>
        <v>#REF!</v>
      </c>
      <c r="DR9" s="56" t="str">
        <f t="shared" si="3"/>
        <v>#REF!</v>
      </c>
      <c r="DS9" s="56" t="str">
        <f t="shared" si="3"/>
        <v>#REF!</v>
      </c>
      <c r="DT9" s="56" t="str">
        <f t="shared" si="3"/>
        <v>#REF!</v>
      </c>
      <c r="DU9" s="56" t="str">
        <f t="shared" si="3"/>
        <v>#REF!</v>
      </c>
      <c r="DV9" s="56" t="str">
        <f t="shared" si="3"/>
        <v>#REF!</v>
      </c>
      <c r="DW9" s="56" t="str">
        <f t="shared" si="3"/>
        <v>#REF!</v>
      </c>
      <c r="DX9" s="56" t="str">
        <f t="shared" si="3"/>
        <v>#REF!</v>
      </c>
      <c r="DY9" s="56" t="str">
        <f t="shared" si="3"/>
        <v>#REF!</v>
      </c>
      <c r="DZ9" s="38"/>
      <c r="EA9" s="57"/>
    </row>
    <row r="10" ht="21.75" customHeight="1">
      <c r="A10" s="58"/>
      <c r="B10" s="59"/>
      <c r="C10" s="60"/>
      <c r="D10" s="33"/>
      <c r="E10" s="33"/>
      <c r="F10" s="60" t="s">
        <v>39</v>
      </c>
      <c r="G10" s="61">
        <f t="shared" ref="G10:DY10" si="4">G11+G251+G252+G253+G254+G255+G256</f>
        <v>202928412</v>
      </c>
      <c r="H10" s="61">
        <f t="shared" si="4"/>
        <v>102720224</v>
      </c>
      <c r="I10" s="61">
        <f t="shared" si="4"/>
        <v>100208188</v>
      </c>
      <c r="J10" s="61">
        <f t="shared" si="4"/>
        <v>0</v>
      </c>
      <c r="K10" s="61">
        <f t="shared" si="4"/>
        <v>0</v>
      </c>
      <c r="L10" s="61">
        <f t="shared" si="4"/>
        <v>0</v>
      </c>
      <c r="M10" s="61">
        <f t="shared" si="4"/>
        <v>154713.8545</v>
      </c>
      <c r="N10" s="61">
        <f t="shared" si="4"/>
        <v>0</v>
      </c>
      <c r="O10" s="61">
        <f t="shared" si="4"/>
        <v>154713.8545</v>
      </c>
      <c r="P10" s="61">
        <f t="shared" si="4"/>
        <v>0</v>
      </c>
      <c r="Q10" s="61">
        <f t="shared" si="4"/>
        <v>0</v>
      </c>
      <c r="R10" s="61">
        <f t="shared" si="4"/>
        <v>0</v>
      </c>
      <c r="S10" s="61">
        <f t="shared" si="4"/>
        <v>690327.988</v>
      </c>
      <c r="T10" s="61">
        <f t="shared" si="4"/>
        <v>254559</v>
      </c>
      <c r="U10" s="61">
        <f t="shared" si="4"/>
        <v>435768.988</v>
      </c>
      <c r="V10" s="61">
        <f t="shared" si="4"/>
        <v>6434859</v>
      </c>
      <c r="W10" s="61">
        <f t="shared" si="4"/>
        <v>0</v>
      </c>
      <c r="X10" s="61">
        <f t="shared" si="4"/>
        <v>6434859</v>
      </c>
      <c r="Y10" s="61">
        <f t="shared" si="4"/>
        <v>11382785.66</v>
      </c>
      <c r="Z10" s="61">
        <f t="shared" si="4"/>
        <v>8316338.322</v>
      </c>
      <c r="AA10" s="61">
        <f t="shared" si="4"/>
        <v>3066447.341</v>
      </c>
      <c r="AB10" s="61">
        <f t="shared" si="4"/>
        <v>6434859</v>
      </c>
      <c r="AC10" s="61">
        <f t="shared" si="4"/>
        <v>0</v>
      </c>
      <c r="AD10" s="61">
        <f t="shared" si="4"/>
        <v>6434859</v>
      </c>
      <c r="AE10" s="61">
        <f t="shared" si="4"/>
        <v>12227827.51</v>
      </c>
      <c r="AF10" s="61">
        <f t="shared" si="4"/>
        <v>8570897.322</v>
      </c>
      <c r="AG10" s="61">
        <f t="shared" si="4"/>
        <v>3656930.183</v>
      </c>
      <c r="AH10" s="61">
        <f t="shared" si="4"/>
        <v>2532796</v>
      </c>
      <c r="AI10" s="61">
        <f t="shared" si="4"/>
        <v>2356758</v>
      </c>
      <c r="AJ10" s="61">
        <f t="shared" si="4"/>
        <v>193499</v>
      </c>
      <c r="AK10" s="61">
        <f t="shared" si="4"/>
        <v>8879453.62</v>
      </c>
      <c r="AL10" s="61">
        <f t="shared" si="4"/>
        <v>5041340.601</v>
      </c>
      <c r="AM10" s="61">
        <f t="shared" si="4"/>
        <v>3838113.019</v>
      </c>
      <c r="AN10" s="61">
        <f t="shared" si="4"/>
        <v>8967655</v>
      </c>
      <c r="AO10" s="61">
        <f t="shared" si="4"/>
        <v>2356758</v>
      </c>
      <c r="AP10" s="61">
        <f t="shared" si="4"/>
        <v>6628358</v>
      </c>
      <c r="AQ10" s="61">
        <f t="shared" si="4"/>
        <v>21107281.13</v>
      </c>
      <c r="AR10" s="61">
        <f t="shared" si="4"/>
        <v>13612237.92</v>
      </c>
      <c r="AS10" s="61">
        <f t="shared" si="4"/>
        <v>7495043.203</v>
      </c>
      <c r="AT10" s="61">
        <f t="shared" si="4"/>
        <v>3799196</v>
      </c>
      <c r="AU10" s="61">
        <f t="shared" si="4"/>
        <v>3535136.8</v>
      </c>
      <c r="AV10" s="61">
        <f t="shared" si="4"/>
        <v>264059.2</v>
      </c>
      <c r="AW10" s="61">
        <f t="shared" si="4"/>
        <v>2435243.592</v>
      </c>
      <c r="AX10" s="61">
        <f t="shared" si="4"/>
        <v>1897084.416</v>
      </c>
      <c r="AY10" s="61">
        <f t="shared" si="4"/>
        <v>538159.1762</v>
      </c>
      <c r="AZ10" s="61">
        <f t="shared" si="4"/>
        <v>12766851</v>
      </c>
      <c r="BA10" s="61">
        <f t="shared" si="4"/>
        <v>5891894.8</v>
      </c>
      <c r="BB10" s="61">
        <f t="shared" si="4"/>
        <v>6892417.2</v>
      </c>
      <c r="BC10" s="61">
        <f t="shared" si="4"/>
        <v>23542524.72</v>
      </c>
      <c r="BD10" s="61">
        <f t="shared" si="4"/>
        <v>15509322.34</v>
      </c>
      <c r="BE10" s="61">
        <f t="shared" si="4"/>
        <v>8033202.379</v>
      </c>
      <c r="BF10" s="61" t="str">
        <f t="shared" si="4"/>
        <v>#REF!</v>
      </c>
      <c r="BG10" s="61" t="str">
        <f t="shared" si="4"/>
        <v>#REF!</v>
      </c>
      <c r="BH10" s="61" t="str">
        <f t="shared" si="4"/>
        <v>#REF!</v>
      </c>
      <c r="BI10" s="61" t="str">
        <f t="shared" si="4"/>
        <v>#REF!</v>
      </c>
      <c r="BJ10" s="61" t="str">
        <f t="shared" si="4"/>
        <v>#REF!</v>
      </c>
      <c r="BK10" s="61" t="str">
        <f t="shared" si="4"/>
        <v>#REF!</v>
      </c>
      <c r="BL10" s="61" t="str">
        <f t="shared" si="4"/>
        <v>#REF!</v>
      </c>
      <c r="BM10" s="61" t="str">
        <f t="shared" si="4"/>
        <v>#REF!</v>
      </c>
      <c r="BN10" s="61" t="str">
        <f t="shared" si="4"/>
        <v>#REF!</v>
      </c>
      <c r="BO10" s="61" t="str">
        <f t="shared" si="4"/>
        <v>#REF!</v>
      </c>
      <c r="BP10" s="61" t="str">
        <f t="shared" si="4"/>
        <v>#REF!</v>
      </c>
      <c r="BQ10" s="61" t="str">
        <f t="shared" si="4"/>
        <v>#REF!</v>
      </c>
      <c r="BR10" s="61" t="str">
        <f t="shared" si="4"/>
        <v>#REF!</v>
      </c>
      <c r="BS10" s="61" t="str">
        <f t="shared" si="4"/>
        <v>#REF!</v>
      </c>
      <c r="BT10" s="61" t="str">
        <f t="shared" si="4"/>
        <v>#REF!</v>
      </c>
      <c r="BU10" s="61" t="str">
        <f t="shared" si="4"/>
        <v>#REF!</v>
      </c>
      <c r="BV10" s="61" t="str">
        <f t="shared" si="4"/>
        <v>#REF!</v>
      </c>
      <c r="BW10" s="61" t="str">
        <f t="shared" si="4"/>
        <v>#REF!</v>
      </c>
      <c r="BX10" s="61" t="str">
        <f t="shared" si="4"/>
        <v>#REF!</v>
      </c>
      <c r="BY10" s="61" t="str">
        <f t="shared" si="4"/>
        <v>#REF!</v>
      </c>
      <c r="BZ10" s="61" t="str">
        <f t="shared" si="4"/>
        <v>#REF!</v>
      </c>
      <c r="CA10" s="61" t="str">
        <f t="shared" si="4"/>
        <v>#REF!</v>
      </c>
      <c r="CB10" s="61" t="str">
        <f t="shared" si="4"/>
        <v>#REF!</v>
      </c>
      <c r="CC10" s="61" t="str">
        <f t="shared" si="4"/>
        <v>#REF!</v>
      </c>
      <c r="CD10" s="61" t="str">
        <f t="shared" si="4"/>
        <v>#REF!</v>
      </c>
      <c r="CE10" s="61" t="str">
        <f t="shared" si="4"/>
        <v>#REF!</v>
      </c>
      <c r="CF10" s="61" t="str">
        <f t="shared" si="4"/>
        <v>#REF!</v>
      </c>
      <c r="CG10" s="61" t="str">
        <f t="shared" si="4"/>
        <v>#REF!</v>
      </c>
      <c r="CH10" s="61" t="str">
        <f t="shared" si="4"/>
        <v>#REF!</v>
      </c>
      <c r="CI10" s="61" t="str">
        <f t="shared" si="4"/>
        <v>#REF!</v>
      </c>
      <c r="CJ10" s="61" t="str">
        <f t="shared" si="4"/>
        <v>#REF!</v>
      </c>
      <c r="CK10" s="61" t="str">
        <f t="shared" si="4"/>
        <v>#REF!</v>
      </c>
      <c r="CL10" s="61" t="str">
        <f t="shared" si="4"/>
        <v>#REF!</v>
      </c>
      <c r="CM10" s="61" t="str">
        <f t="shared" si="4"/>
        <v>#REF!</v>
      </c>
      <c r="CN10" s="61" t="str">
        <f t="shared" si="4"/>
        <v>#REF!</v>
      </c>
      <c r="CO10" s="61" t="str">
        <f t="shared" si="4"/>
        <v>#REF!</v>
      </c>
      <c r="CP10" s="61" t="str">
        <f t="shared" si="4"/>
        <v>#REF!</v>
      </c>
      <c r="CQ10" s="61" t="str">
        <f t="shared" si="4"/>
        <v>#REF!</v>
      </c>
      <c r="CR10" s="61" t="str">
        <f t="shared" si="4"/>
        <v>#REF!</v>
      </c>
      <c r="CS10" s="61" t="str">
        <f t="shared" si="4"/>
        <v>#REF!</v>
      </c>
      <c r="CT10" s="61" t="str">
        <f t="shared" si="4"/>
        <v>#REF!</v>
      </c>
      <c r="CU10" s="61" t="str">
        <f t="shared" si="4"/>
        <v>#REF!</v>
      </c>
      <c r="CV10" s="61" t="str">
        <f t="shared" si="4"/>
        <v>#REF!</v>
      </c>
      <c r="CW10" s="61" t="str">
        <f t="shared" si="4"/>
        <v>#REF!</v>
      </c>
      <c r="CX10" s="61" t="str">
        <f t="shared" si="4"/>
        <v>#REF!</v>
      </c>
      <c r="CY10" s="61" t="str">
        <f t="shared" si="4"/>
        <v>#REF!</v>
      </c>
      <c r="CZ10" s="61" t="str">
        <f t="shared" si="4"/>
        <v>#REF!</v>
      </c>
      <c r="DA10" s="61" t="str">
        <f t="shared" si="4"/>
        <v>#REF!</v>
      </c>
      <c r="DB10" s="61" t="str">
        <f t="shared" si="4"/>
        <v>#REF!</v>
      </c>
      <c r="DC10" s="61" t="str">
        <f t="shared" si="4"/>
        <v>#REF!</v>
      </c>
      <c r="DD10" s="61" t="str">
        <f t="shared" si="4"/>
        <v>#REF!</v>
      </c>
      <c r="DE10" s="61" t="str">
        <f t="shared" si="4"/>
        <v>#REF!</v>
      </c>
      <c r="DF10" s="61" t="str">
        <f t="shared" si="4"/>
        <v>#REF!</v>
      </c>
      <c r="DG10" s="61" t="str">
        <f t="shared" si="4"/>
        <v>#REF!</v>
      </c>
      <c r="DH10" s="61" t="str">
        <f t="shared" si="4"/>
        <v>#REF!</v>
      </c>
      <c r="DI10" s="61" t="str">
        <f t="shared" si="4"/>
        <v>#REF!</v>
      </c>
      <c r="DJ10" s="61" t="str">
        <f t="shared" si="4"/>
        <v>#REF!</v>
      </c>
      <c r="DK10" s="61" t="str">
        <f t="shared" si="4"/>
        <v>#REF!</v>
      </c>
      <c r="DL10" s="61" t="str">
        <f t="shared" si="4"/>
        <v>#REF!</v>
      </c>
      <c r="DM10" s="61" t="str">
        <f t="shared" si="4"/>
        <v>#REF!</v>
      </c>
      <c r="DN10" s="61" t="str">
        <f t="shared" si="4"/>
        <v>#REF!</v>
      </c>
      <c r="DO10" s="61" t="str">
        <f t="shared" si="4"/>
        <v>#REF!</v>
      </c>
      <c r="DP10" s="61" t="str">
        <f t="shared" si="4"/>
        <v>#REF!</v>
      </c>
      <c r="DQ10" s="61" t="str">
        <f t="shared" si="4"/>
        <v>#REF!</v>
      </c>
      <c r="DR10" s="61" t="str">
        <f t="shared" si="4"/>
        <v>#REF!</v>
      </c>
      <c r="DS10" s="61" t="str">
        <f t="shared" si="4"/>
        <v>#REF!</v>
      </c>
      <c r="DT10" s="61" t="str">
        <f t="shared" si="4"/>
        <v>#REF!</v>
      </c>
      <c r="DU10" s="61" t="str">
        <f t="shared" si="4"/>
        <v>#REF!</v>
      </c>
      <c r="DV10" s="61" t="str">
        <f t="shared" si="4"/>
        <v>#REF!</v>
      </c>
      <c r="DW10" s="61" t="str">
        <f t="shared" si="4"/>
        <v>#REF!</v>
      </c>
      <c r="DX10" s="61" t="str">
        <f t="shared" si="4"/>
        <v>#REF!</v>
      </c>
      <c r="DY10" s="61" t="str">
        <f t="shared" si="4"/>
        <v>#REF!</v>
      </c>
      <c r="DZ10" s="62"/>
      <c r="EA10" s="63"/>
    </row>
    <row r="11" ht="21.75" customHeight="1">
      <c r="A11" s="64"/>
      <c r="B11" s="65" t="s">
        <v>40</v>
      </c>
      <c r="C11" s="66"/>
      <c r="D11" s="66" t="s">
        <v>41</v>
      </c>
      <c r="E11" s="66"/>
      <c r="F11" s="67" t="s">
        <v>42</v>
      </c>
      <c r="G11" s="68">
        <f t="shared" ref="G11:DY11" si="5">G12+G23+G34+G45+G56+G67+G78+G89+G100+G111+G122+G133+G144+G155+G166+G177+G188+G199+G210+G221+G232+G237+G238+G239+G240+G241+G242+G243+G244+G245+G246+G247+G248+G249+G250</f>
        <v>68347156</v>
      </c>
      <c r="H11" s="68">
        <f t="shared" si="5"/>
        <v>36849744</v>
      </c>
      <c r="I11" s="68">
        <f t="shared" si="5"/>
        <v>31497412</v>
      </c>
      <c r="J11" s="68">
        <f t="shared" si="5"/>
        <v>0</v>
      </c>
      <c r="K11" s="68">
        <f t="shared" si="5"/>
        <v>0</v>
      </c>
      <c r="L11" s="68">
        <f t="shared" si="5"/>
        <v>0</v>
      </c>
      <c r="M11" s="68">
        <f t="shared" si="5"/>
        <v>154410.0195</v>
      </c>
      <c r="N11" s="68">
        <f t="shared" si="5"/>
        <v>0</v>
      </c>
      <c r="O11" s="68">
        <f t="shared" si="5"/>
        <v>154410.0195</v>
      </c>
      <c r="P11" s="68">
        <f t="shared" si="5"/>
        <v>0</v>
      </c>
      <c r="Q11" s="68">
        <f t="shared" si="5"/>
        <v>0</v>
      </c>
      <c r="R11" s="68">
        <f t="shared" si="5"/>
        <v>0</v>
      </c>
      <c r="S11" s="68">
        <f t="shared" si="5"/>
        <v>688135.988</v>
      </c>
      <c r="T11" s="68">
        <f t="shared" si="5"/>
        <v>254559</v>
      </c>
      <c r="U11" s="68">
        <f t="shared" si="5"/>
        <v>433576.988</v>
      </c>
      <c r="V11" s="68">
        <f t="shared" si="5"/>
        <v>1100598</v>
      </c>
      <c r="W11" s="68">
        <f t="shared" si="5"/>
        <v>0</v>
      </c>
      <c r="X11" s="68">
        <f t="shared" si="5"/>
        <v>1100598</v>
      </c>
      <c r="Y11" s="68">
        <f t="shared" si="5"/>
        <v>11334769.08</v>
      </c>
      <c r="Z11" s="68">
        <f t="shared" si="5"/>
        <v>8304638.322</v>
      </c>
      <c r="AA11" s="68">
        <f t="shared" si="5"/>
        <v>3030130.763</v>
      </c>
      <c r="AB11" s="68">
        <f t="shared" si="5"/>
        <v>1100598</v>
      </c>
      <c r="AC11" s="68">
        <f t="shared" si="5"/>
        <v>0</v>
      </c>
      <c r="AD11" s="68">
        <f t="shared" si="5"/>
        <v>1100598</v>
      </c>
      <c r="AE11" s="68">
        <f t="shared" si="5"/>
        <v>12177315.09</v>
      </c>
      <c r="AF11" s="68">
        <f t="shared" si="5"/>
        <v>8559197.322</v>
      </c>
      <c r="AG11" s="68">
        <f t="shared" si="5"/>
        <v>3618117.77</v>
      </c>
      <c r="AH11" s="68">
        <f t="shared" si="5"/>
        <v>2495556</v>
      </c>
      <c r="AI11" s="68">
        <f t="shared" si="5"/>
        <v>2356758</v>
      </c>
      <c r="AJ11" s="68">
        <f t="shared" si="5"/>
        <v>156259</v>
      </c>
      <c r="AK11" s="68">
        <f t="shared" si="5"/>
        <v>6128019.483</v>
      </c>
      <c r="AL11" s="68">
        <f t="shared" si="5"/>
        <v>4879865.601</v>
      </c>
      <c r="AM11" s="68">
        <f t="shared" si="5"/>
        <v>1248153.883</v>
      </c>
      <c r="AN11" s="68">
        <f t="shared" si="5"/>
        <v>3596154</v>
      </c>
      <c r="AO11" s="68">
        <f t="shared" si="5"/>
        <v>2356758</v>
      </c>
      <c r="AP11" s="68">
        <f t="shared" si="5"/>
        <v>1256857</v>
      </c>
      <c r="AQ11" s="68">
        <f t="shared" si="5"/>
        <v>18305334.58</v>
      </c>
      <c r="AR11" s="68">
        <f t="shared" si="5"/>
        <v>13439062.92</v>
      </c>
      <c r="AS11" s="68">
        <f t="shared" si="5"/>
        <v>4866271.653</v>
      </c>
      <c r="AT11" s="68">
        <f t="shared" si="5"/>
        <v>3743335</v>
      </c>
      <c r="AU11" s="68">
        <f t="shared" si="5"/>
        <v>3535136.8</v>
      </c>
      <c r="AV11" s="68">
        <f t="shared" si="5"/>
        <v>208198.2</v>
      </c>
      <c r="AW11" s="68">
        <f t="shared" si="5"/>
        <v>2374504.949</v>
      </c>
      <c r="AX11" s="68">
        <f t="shared" si="5"/>
        <v>1897084.416</v>
      </c>
      <c r="AY11" s="68">
        <f t="shared" si="5"/>
        <v>477420.533</v>
      </c>
      <c r="AZ11" s="68">
        <f t="shared" si="5"/>
        <v>7339489</v>
      </c>
      <c r="BA11" s="68">
        <f t="shared" si="5"/>
        <v>5891894.8</v>
      </c>
      <c r="BB11" s="68">
        <f t="shared" si="5"/>
        <v>1465055.2</v>
      </c>
      <c r="BC11" s="68">
        <f t="shared" si="5"/>
        <v>20679839.52</v>
      </c>
      <c r="BD11" s="68">
        <f t="shared" si="5"/>
        <v>15336147.34</v>
      </c>
      <c r="BE11" s="68">
        <f t="shared" si="5"/>
        <v>5343692.186</v>
      </c>
      <c r="BF11" s="68" t="str">
        <f t="shared" si="5"/>
        <v>#REF!</v>
      </c>
      <c r="BG11" s="68" t="str">
        <f t="shared" si="5"/>
        <v>#REF!</v>
      </c>
      <c r="BH11" s="68" t="str">
        <f t="shared" si="5"/>
        <v>#REF!</v>
      </c>
      <c r="BI11" s="68" t="str">
        <f t="shared" si="5"/>
        <v>#REF!</v>
      </c>
      <c r="BJ11" s="68" t="str">
        <f t="shared" si="5"/>
        <v>#REF!</v>
      </c>
      <c r="BK11" s="68" t="str">
        <f t="shared" si="5"/>
        <v>#REF!</v>
      </c>
      <c r="BL11" s="68" t="str">
        <f t="shared" si="5"/>
        <v>#REF!</v>
      </c>
      <c r="BM11" s="68" t="str">
        <f t="shared" si="5"/>
        <v>#REF!</v>
      </c>
      <c r="BN11" s="68" t="str">
        <f t="shared" si="5"/>
        <v>#REF!</v>
      </c>
      <c r="BO11" s="68" t="str">
        <f t="shared" si="5"/>
        <v>#REF!</v>
      </c>
      <c r="BP11" s="68" t="str">
        <f t="shared" si="5"/>
        <v>#REF!</v>
      </c>
      <c r="BQ11" s="68" t="str">
        <f t="shared" si="5"/>
        <v>#REF!</v>
      </c>
      <c r="BR11" s="68" t="str">
        <f t="shared" si="5"/>
        <v>#REF!</v>
      </c>
      <c r="BS11" s="68" t="str">
        <f t="shared" si="5"/>
        <v>#REF!</v>
      </c>
      <c r="BT11" s="68" t="str">
        <f t="shared" si="5"/>
        <v>#REF!</v>
      </c>
      <c r="BU11" s="68" t="str">
        <f t="shared" si="5"/>
        <v>#REF!</v>
      </c>
      <c r="BV11" s="68" t="str">
        <f t="shared" si="5"/>
        <v>#REF!</v>
      </c>
      <c r="BW11" s="68" t="str">
        <f t="shared" si="5"/>
        <v>#REF!</v>
      </c>
      <c r="BX11" s="68" t="str">
        <f t="shared" si="5"/>
        <v>#REF!</v>
      </c>
      <c r="BY11" s="68" t="str">
        <f t="shared" si="5"/>
        <v>#REF!</v>
      </c>
      <c r="BZ11" s="68" t="str">
        <f t="shared" si="5"/>
        <v>#REF!</v>
      </c>
      <c r="CA11" s="68" t="str">
        <f t="shared" si="5"/>
        <v>#REF!</v>
      </c>
      <c r="CB11" s="68" t="str">
        <f t="shared" si="5"/>
        <v>#REF!</v>
      </c>
      <c r="CC11" s="68" t="str">
        <f t="shared" si="5"/>
        <v>#REF!</v>
      </c>
      <c r="CD11" s="68" t="str">
        <f t="shared" si="5"/>
        <v>#REF!</v>
      </c>
      <c r="CE11" s="68" t="str">
        <f t="shared" si="5"/>
        <v>#REF!</v>
      </c>
      <c r="CF11" s="68" t="str">
        <f t="shared" si="5"/>
        <v>#REF!</v>
      </c>
      <c r="CG11" s="68" t="str">
        <f t="shared" si="5"/>
        <v>#REF!</v>
      </c>
      <c r="CH11" s="68" t="str">
        <f t="shared" si="5"/>
        <v>#REF!</v>
      </c>
      <c r="CI11" s="68" t="str">
        <f t="shared" si="5"/>
        <v>#REF!</v>
      </c>
      <c r="CJ11" s="68" t="str">
        <f t="shared" si="5"/>
        <v>#REF!</v>
      </c>
      <c r="CK11" s="68" t="str">
        <f t="shared" si="5"/>
        <v>#REF!</v>
      </c>
      <c r="CL11" s="68" t="str">
        <f t="shared" si="5"/>
        <v>#REF!</v>
      </c>
      <c r="CM11" s="68" t="str">
        <f t="shared" si="5"/>
        <v>#REF!</v>
      </c>
      <c r="CN11" s="68" t="str">
        <f t="shared" si="5"/>
        <v>#REF!</v>
      </c>
      <c r="CO11" s="68" t="str">
        <f t="shared" si="5"/>
        <v>#REF!</v>
      </c>
      <c r="CP11" s="68" t="str">
        <f t="shared" si="5"/>
        <v>#REF!</v>
      </c>
      <c r="CQ11" s="68" t="str">
        <f t="shared" si="5"/>
        <v>#REF!</v>
      </c>
      <c r="CR11" s="68" t="str">
        <f t="shared" si="5"/>
        <v>#REF!</v>
      </c>
      <c r="CS11" s="68" t="str">
        <f t="shared" si="5"/>
        <v>#REF!</v>
      </c>
      <c r="CT11" s="68" t="str">
        <f t="shared" si="5"/>
        <v>#REF!</v>
      </c>
      <c r="CU11" s="68" t="str">
        <f t="shared" si="5"/>
        <v>#REF!</v>
      </c>
      <c r="CV11" s="68" t="str">
        <f t="shared" si="5"/>
        <v>#REF!</v>
      </c>
      <c r="CW11" s="68" t="str">
        <f t="shared" si="5"/>
        <v>#REF!</v>
      </c>
      <c r="CX11" s="68" t="str">
        <f t="shared" si="5"/>
        <v>#REF!</v>
      </c>
      <c r="CY11" s="68" t="str">
        <f t="shared" si="5"/>
        <v>#REF!</v>
      </c>
      <c r="CZ11" s="68" t="str">
        <f t="shared" si="5"/>
        <v>#REF!</v>
      </c>
      <c r="DA11" s="68" t="str">
        <f t="shared" si="5"/>
        <v>#REF!</v>
      </c>
      <c r="DB11" s="68" t="str">
        <f t="shared" si="5"/>
        <v>#REF!</v>
      </c>
      <c r="DC11" s="68" t="str">
        <f t="shared" si="5"/>
        <v>#REF!</v>
      </c>
      <c r="DD11" s="68" t="str">
        <f t="shared" si="5"/>
        <v>#REF!</v>
      </c>
      <c r="DE11" s="68" t="str">
        <f t="shared" si="5"/>
        <v>#REF!</v>
      </c>
      <c r="DF11" s="68" t="str">
        <f t="shared" si="5"/>
        <v>#REF!</v>
      </c>
      <c r="DG11" s="68" t="str">
        <f t="shared" si="5"/>
        <v>#REF!</v>
      </c>
      <c r="DH11" s="68" t="str">
        <f t="shared" si="5"/>
        <v>#REF!</v>
      </c>
      <c r="DI11" s="68" t="str">
        <f t="shared" si="5"/>
        <v>#REF!</v>
      </c>
      <c r="DJ11" s="68" t="str">
        <f t="shared" si="5"/>
        <v>#REF!</v>
      </c>
      <c r="DK11" s="68" t="str">
        <f t="shared" si="5"/>
        <v>#REF!</v>
      </c>
      <c r="DL11" s="68" t="str">
        <f t="shared" si="5"/>
        <v>#REF!</v>
      </c>
      <c r="DM11" s="68" t="str">
        <f t="shared" si="5"/>
        <v>#REF!</v>
      </c>
      <c r="DN11" s="68" t="str">
        <f t="shared" si="5"/>
        <v>#REF!</v>
      </c>
      <c r="DO11" s="68" t="str">
        <f t="shared" si="5"/>
        <v>#REF!</v>
      </c>
      <c r="DP11" s="68" t="str">
        <f t="shared" si="5"/>
        <v>#REF!</v>
      </c>
      <c r="DQ11" s="68" t="str">
        <f t="shared" si="5"/>
        <v>#REF!</v>
      </c>
      <c r="DR11" s="68" t="str">
        <f t="shared" si="5"/>
        <v>#REF!</v>
      </c>
      <c r="DS11" s="68" t="str">
        <f t="shared" si="5"/>
        <v>#REF!</v>
      </c>
      <c r="DT11" s="68" t="str">
        <f t="shared" si="5"/>
        <v>#REF!</v>
      </c>
      <c r="DU11" s="68" t="str">
        <f t="shared" si="5"/>
        <v>#REF!</v>
      </c>
      <c r="DV11" s="68" t="str">
        <f t="shared" si="5"/>
        <v>#REF!</v>
      </c>
      <c r="DW11" s="68" t="str">
        <f t="shared" si="5"/>
        <v>#REF!</v>
      </c>
      <c r="DX11" s="68" t="str">
        <f t="shared" si="5"/>
        <v>#REF!</v>
      </c>
      <c r="DY11" s="68" t="str">
        <f t="shared" si="5"/>
        <v>#REF!</v>
      </c>
      <c r="DZ11" s="68"/>
      <c r="EA11" s="69"/>
    </row>
    <row r="12" ht="21.75" customHeight="1">
      <c r="A12" s="64"/>
      <c r="B12" s="70" t="s">
        <v>40</v>
      </c>
      <c r="C12" s="71" t="s">
        <v>43</v>
      </c>
      <c r="D12" s="71" t="s">
        <v>41</v>
      </c>
      <c r="E12" s="71" t="s">
        <v>44</v>
      </c>
      <c r="F12" s="72" t="s">
        <v>45</v>
      </c>
      <c r="G12" s="73">
        <v>5225932.0</v>
      </c>
      <c r="H12" s="73">
        <v>0.0</v>
      </c>
      <c r="I12" s="73">
        <v>5225932.0</v>
      </c>
      <c r="J12" s="73">
        <f t="shared" ref="J12:L12" si="6">J13+J15+J18</f>
        <v>0</v>
      </c>
      <c r="K12" s="73">
        <f t="shared" si="6"/>
        <v>0</v>
      </c>
      <c r="L12" s="73">
        <f t="shared" si="6"/>
        <v>0</v>
      </c>
      <c r="M12" s="73">
        <f t="shared" ref="M12:O12" si="7">M13+M15+M18+M21+M22</f>
        <v>29042.55832</v>
      </c>
      <c r="N12" s="73">
        <f t="shared" si="7"/>
        <v>0</v>
      </c>
      <c r="O12" s="73">
        <f t="shared" si="7"/>
        <v>29042.55832</v>
      </c>
      <c r="P12" s="73">
        <f t="shared" ref="P12:R12" si="8">P13+P15+P18</f>
        <v>0</v>
      </c>
      <c r="Q12" s="73">
        <f t="shared" si="8"/>
        <v>0</v>
      </c>
      <c r="R12" s="73">
        <f t="shared" si="8"/>
        <v>0</v>
      </c>
      <c r="S12" s="73">
        <f t="shared" ref="S12:U12" si="9">S13+S15+S18+S21+S22</f>
        <v>51507.49106</v>
      </c>
      <c r="T12" s="73">
        <f t="shared" si="9"/>
        <v>0</v>
      </c>
      <c r="U12" s="73">
        <f t="shared" si="9"/>
        <v>51507.49106</v>
      </c>
      <c r="V12" s="73">
        <v>6642.0</v>
      </c>
      <c r="W12" s="73">
        <f>W13+W15+W18</f>
        <v>0</v>
      </c>
      <c r="X12" s="73">
        <v>6642.0</v>
      </c>
      <c r="Y12" s="73">
        <f t="shared" ref="Y12:AA12" si="10">Y13+Y15+Y18+Y21+Y22</f>
        <v>60277.16719</v>
      </c>
      <c r="Z12" s="73">
        <f t="shared" si="10"/>
        <v>0</v>
      </c>
      <c r="AA12" s="73">
        <f t="shared" si="10"/>
        <v>60277.16719</v>
      </c>
      <c r="AB12" s="73">
        <f t="shared" ref="AB12:AG12" si="11">J12+P12+V12</f>
        <v>6642</v>
      </c>
      <c r="AC12" s="73">
        <f t="shared" si="11"/>
        <v>0</v>
      </c>
      <c r="AD12" s="73">
        <f t="shared" si="11"/>
        <v>6642</v>
      </c>
      <c r="AE12" s="73">
        <f t="shared" si="11"/>
        <v>140827.2166</v>
      </c>
      <c r="AF12" s="73">
        <f t="shared" si="11"/>
        <v>0</v>
      </c>
      <c r="AG12" s="73">
        <f t="shared" si="11"/>
        <v>140827.2166</v>
      </c>
      <c r="AH12" s="73">
        <v>22513.0</v>
      </c>
      <c r="AI12" s="73">
        <v>0.0</v>
      </c>
      <c r="AJ12" s="73">
        <v>22513.0</v>
      </c>
      <c r="AK12" s="73">
        <f t="shared" ref="AK12:AM12" si="12">AK13+AK15+AK18+AK21+AK22</f>
        <v>225379.2926</v>
      </c>
      <c r="AL12" s="73">
        <f t="shared" si="12"/>
        <v>0</v>
      </c>
      <c r="AM12" s="73">
        <f t="shared" si="12"/>
        <v>225379.2926</v>
      </c>
      <c r="AN12" s="73">
        <f t="shared" ref="AN12:AS12" si="13">AB12+AH12</f>
        <v>29155</v>
      </c>
      <c r="AO12" s="73">
        <f t="shared" si="13"/>
        <v>0</v>
      </c>
      <c r="AP12" s="73">
        <f t="shared" si="13"/>
        <v>29155</v>
      </c>
      <c r="AQ12" s="73">
        <f t="shared" si="13"/>
        <v>366206.5092</v>
      </c>
      <c r="AR12" s="73">
        <f t="shared" si="13"/>
        <v>0</v>
      </c>
      <c r="AS12" s="73">
        <f t="shared" si="13"/>
        <v>366206.5092</v>
      </c>
      <c r="AT12" s="73">
        <v>33770.0</v>
      </c>
      <c r="AU12" s="73">
        <v>0.0</v>
      </c>
      <c r="AV12" s="73">
        <v>33770.0</v>
      </c>
      <c r="AW12" s="73">
        <f t="shared" ref="AW12:AY12" si="14">AW13+AW15+AW18+AW21+AW22</f>
        <v>107782.6681</v>
      </c>
      <c r="AX12" s="73">
        <f t="shared" si="14"/>
        <v>0</v>
      </c>
      <c r="AY12" s="73">
        <f t="shared" si="14"/>
        <v>107782.6681</v>
      </c>
      <c r="AZ12" s="73">
        <f t="shared" ref="AZ12:BE12" si="15">AN12+AT12</f>
        <v>62925</v>
      </c>
      <c r="BA12" s="73">
        <f t="shared" si="15"/>
        <v>0</v>
      </c>
      <c r="BB12" s="73">
        <f t="shared" si="15"/>
        <v>62925</v>
      </c>
      <c r="BC12" s="73">
        <f t="shared" si="15"/>
        <v>473989.1773</v>
      </c>
      <c r="BD12" s="73">
        <f t="shared" si="15"/>
        <v>0</v>
      </c>
      <c r="BE12" s="73">
        <f t="shared" si="15"/>
        <v>473989.1773</v>
      </c>
      <c r="BF12" s="73" t="str">
        <f t="shared" ref="BF12:DY12" si="16">BF20+#REF!+BF21+BF22</f>
        <v>#REF!</v>
      </c>
      <c r="BG12" s="73" t="str">
        <f t="shared" si="16"/>
        <v>#REF!</v>
      </c>
      <c r="BH12" s="73" t="str">
        <f t="shared" si="16"/>
        <v>#REF!</v>
      </c>
      <c r="BI12" s="73" t="str">
        <f t="shared" si="16"/>
        <v>#REF!</v>
      </c>
      <c r="BJ12" s="73" t="str">
        <f t="shared" si="16"/>
        <v>#REF!</v>
      </c>
      <c r="BK12" s="73" t="str">
        <f t="shared" si="16"/>
        <v>#REF!</v>
      </c>
      <c r="BL12" s="73" t="str">
        <f t="shared" si="16"/>
        <v>#REF!</v>
      </c>
      <c r="BM12" s="73" t="str">
        <f t="shared" si="16"/>
        <v>#REF!</v>
      </c>
      <c r="BN12" s="73" t="str">
        <f t="shared" si="16"/>
        <v>#REF!</v>
      </c>
      <c r="BO12" s="73" t="str">
        <f t="shared" si="16"/>
        <v>#REF!</v>
      </c>
      <c r="BP12" s="73" t="str">
        <f t="shared" si="16"/>
        <v>#REF!</v>
      </c>
      <c r="BQ12" s="73" t="str">
        <f t="shared" si="16"/>
        <v>#REF!</v>
      </c>
      <c r="BR12" s="73" t="str">
        <f t="shared" si="16"/>
        <v>#REF!</v>
      </c>
      <c r="BS12" s="73" t="str">
        <f t="shared" si="16"/>
        <v>#REF!</v>
      </c>
      <c r="BT12" s="73" t="str">
        <f t="shared" si="16"/>
        <v>#REF!</v>
      </c>
      <c r="BU12" s="73" t="str">
        <f t="shared" si="16"/>
        <v>#REF!</v>
      </c>
      <c r="BV12" s="73" t="str">
        <f t="shared" si="16"/>
        <v>#REF!</v>
      </c>
      <c r="BW12" s="73" t="str">
        <f t="shared" si="16"/>
        <v>#REF!</v>
      </c>
      <c r="BX12" s="73" t="str">
        <f t="shared" si="16"/>
        <v>#REF!</v>
      </c>
      <c r="BY12" s="73" t="str">
        <f t="shared" si="16"/>
        <v>#REF!</v>
      </c>
      <c r="BZ12" s="73" t="str">
        <f t="shared" si="16"/>
        <v>#REF!</v>
      </c>
      <c r="CA12" s="73" t="str">
        <f t="shared" si="16"/>
        <v>#REF!</v>
      </c>
      <c r="CB12" s="73" t="str">
        <f t="shared" si="16"/>
        <v>#REF!</v>
      </c>
      <c r="CC12" s="73" t="str">
        <f t="shared" si="16"/>
        <v>#REF!</v>
      </c>
      <c r="CD12" s="73" t="str">
        <f t="shared" si="16"/>
        <v>#REF!</v>
      </c>
      <c r="CE12" s="73" t="str">
        <f t="shared" si="16"/>
        <v>#REF!</v>
      </c>
      <c r="CF12" s="73" t="str">
        <f t="shared" si="16"/>
        <v>#REF!</v>
      </c>
      <c r="CG12" s="73" t="str">
        <f t="shared" si="16"/>
        <v>#REF!</v>
      </c>
      <c r="CH12" s="73" t="str">
        <f t="shared" si="16"/>
        <v>#REF!</v>
      </c>
      <c r="CI12" s="73" t="str">
        <f t="shared" si="16"/>
        <v>#REF!</v>
      </c>
      <c r="CJ12" s="73" t="str">
        <f t="shared" si="16"/>
        <v>#REF!</v>
      </c>
      <c r="CK12" s="73" t="str">
        <f t="shared" si="16"/>
        <v>#REF!</v>
      </c>
      <c r="CL12" s="73" t="str">
        <f t="shared" si="16"/>
        <v>#REF!</v>
      </c>
      <c r="CM12" s="73" t="str">
        <f t="shared" si="16"/>
        <v>#REF!</v>
      </c>
      <c r="CN12" s="73" t="str">
        <f t="shared" si="16"/>
        <v>#REF!</v>
      </c>
      <c r="CO12" s="73" t="str">
        <f t="shared" si="16"/>
        <v>#REF!</v>
      </c>
      <c r="CP12" s="73" t="str">
        <f t="shared" si="16"/>
        <v>#REF!</v>
      </c>
      <c r="CQ12" s="73" t="str">
        <f t="shared" si="16"/>
        <v>#REF!</v>
      </c>
      <c r="CR12" s="73" t="str">
        <f t="shared" si="16"/>
        <v>#REF!</v>
      </c>
      <c r="CS12" s="73" t="str">
        <f t="shared" si="16"/>
        <v>#REF!</v>
      </c>
      <c r="CT12" s="73" t="str">
        <f t="shared" si="16"/>
        <v>#REF!</v>
      </c>
      <c r="CU12" s="73" t="str">
        <f t="shared" si="16"/>
        <v>#REF!</v>
      </c>
      <c r="CV12" s="73" t="str">
        <f t="shared" si="16"/>
        <v>#REF!</v>
      </c>
      <c r="CW12" s="73" t="str">
        <f t="shared" si="16"/>
        <v>#REF!</v>
      </c>
      <c r="CX12" s="73" t="str">
        <f t="shared" si="16"/>
        <v>#REF!</v>
      </c>
      <c r="CY12" s="73" t="str">
        <f t="shared" si="16"/>
        <v>#REF!</v>
      </c>
      <c r="CZ12" s="73" t="str">
        <f t="shared" si="16"/>
        <v>#REF!</v>
      </c>
      <c r="DA12" s="73" t="str">
        <f t="shared" si="16"/>
        <v>#REF!</v>
      </c>
      <c r="DB12" s="73" t="str">
        <f t="shared" si="16"/>
        <v>#REF!</v>
      </c>
      <c r="DC12" s="73" t="str">
        <f t="shared" si="16"/>
        <v>#REF!</v>
      </c>
      <c r="DD12" s="73" t="str">
        <f t="shared" si="16"/>
        <v>#REF!</v>
      </c>
      <c r="DE12" s="73" t="str">
        <f t="shared" si="16"/>
        <v>#REF!</v>
      </c>
      <c r="DF12" s="73" t="str">
        <f t="shared" si="16"/>
        <v>#REF!</v>
      </c>
      <c r="DG12" s="73" t="str">
        <f t="shared" si="16"/>
        <v>#REF!</v>
      </c>
      <c r="DH12" s="73" t="str">
        <f t="shared" si="16"/>
        <v>#REF!</v>
      </c>
      <c r="DI12" s="73" t="str">
        <f t="shared" si="16"/>
        <v>#REF!</v>
      </c>
      <c r="DJ12" s="73" t="str">
        <f t="shared" si="16"/>
        <v>#REF!</v>
      </c>
      <c r="DK12" s="73" t="str">
        <f t="shared" si="16"/>
        <v>#REF!</v>
      </c>
      <c r="DL12" s="73" t="str">
        <f t="shared" si="16"/>
        <v>#REF!</v>
      </c>
      <c r="DM12" s="73" t="str">
        <f t="shared" si="16"/>
        <v>#REF!</v>
      </c>
      <c r="DN12" s="73" t="str">
        <f t="shared" si="16"/>
        <v>#REF!</v>
      </c>
      <c r="DO12" s="73" t="str">
        <f t="shared" si="16"/>
        <v>#REF!</v>
      </c>
      <c r="DP12" s="73" t="str">
        <f t="shared" si="16"/>
        <v>#REF!</v>
      </c>
      <c r="DQ12" s="73" t="str">
        <f t="shared" si="16"/>
        <v>#REF!</v>
      </c>
      <c r="DR12" s="73" t="str">
        <f t="shared" si="16"/>
        <v>#REF!</v>
      </c>
      <c r="DS12" s="73" t="str">
        <f t="shared" si="16"/>
        <v>#REF!</v>
      </c>
      <c r="DT12" s="73" t="str">
        <f t="shared" si="16"/>
        <v>#REF!</v>
      </c>
      <c r="DU12" s="74" t="str">
        <f t="shared" si="16"/>
        <v>#REF!</v>
      </c>
      <c r="DV12" s="74" t="str">
        <f t="shared" si="16"/>
        <v>#REF!</v>
      </c>
      <c r="DW12" s="74" t="str">
        <f t="shared" si="16"/>
        <v>#REF!</v>
      </c>
      <c r="DX12" s="74" t="str">
        <f t="shared" si="16"/>
        <v>#REF!</v>
      </c>
      <c r="DY12" s="74" t="str">
        <f t="shared" si="16"/>
        <v>#REF!</v>
      </c>
      <c r="DZ12" s="75"/>
      <c r="EA12" s="76"/>
    </row>
    <row r="13" ht="21.75" customHeight="1">
      <c r="A13" s="77"/>
      <c r="B13" s="44"/>
      <c r="C13" s="45"/>
      <c r="D13" s="45"/>
      <c r="E13" s="45"/>
      <c r="F13" s="78" t="s">
        <v>46</v>
      </c>
      <c r="G13" s="79"/>
      <c r="H13" s="79"/>
      <c r="I13" s="79"/>
      <c r="J13" s="79"/>
      <c r="K13" s="79"/>
      <c r="L13" s="79"/>
      <c r="M13" s="79">
        <f t="shared" ref="M13:O13" si="17">M14</f>
        <v>0</v>
      </c>
      <c r="N13" s="79">
        <f t="shared" si="17"/>
        <v>0</v>
      </c>
      <c r="O13" s="79">
        <f t="shared" si="17"/>
        <v>0</v>
      </c>
      <c r="P13" s="79"/>
      <c r="Q13" s="79"/>
      <c r="R13" s="79"/>
      <c r="S13" s="79">
        <f t="shared" ref="S13:U13" si="18">S14</f>
        <v>125.31554</v>
      </c>
      <c r="T13" s="79">
        <f t="shared" si="18"/>
        <v>0</v>
      </c>
      <c r="U13" s="79">
        <f t="shared" si="18"/>
        <v>125.31554</v>
      </c>
      <c r="V13" s="79"/>
      <c r="W13" s="79"/>
      <c r="X13" s="79"/>
      <c r="Y13" s="79">
        <f t="shared" ref="Y13:AA13" si="19">Y14</f>
        <v>0</v>
      </c>
      <c r="Z13" s="79">
        <f t="shared" si="19"/>
        <v>0</v>
      </c>
      <c r="AA13" s="79">
        <f t="shared" si="19"/>
        <v>0</v>
      </c>
      <c r="AB13" s="79"/>
      <c r="AC13" s="79"/>
      <c r="AD13" s="79"/>
      <c r="AE13" s="79">
        <f t="shared" ref="AE13:AG13" si="20">M13+S13+Y13</f>
        <v>125.31554</v>
      </c>
      <c r="AF13" s="79">
        <f t="shared" si="20"/>
        <v>0</v>
      </c>
      <c r="AG13" s="79">
        <f t="shared" si="20"/>
        <v>125.31554</v>
      </c>
      <c r="AH13" s="79"/>
      <c r="AI13" s="79"/>
      <c r="AJ13" s="79"/>
      <c r="AK13" s="79">
        <f t="shared" ref="AK13:AM13" si="21">AK14</f>
        <v>0</v>
      </c>
      <c r="AL13" s="79">
        <f t="shared" si="21"/>
        <v>0</v>
      </c>
      <c r="AM13" s="79">
        <f t="shared" si="21"/>
        <v>0</v>
      </c>
      <c r="AN13" s="79"/>
      <c r="AO13" s="79"/>
      <c r="AP13" s="79"/>
      <c r="AQ13" s="79">
        <f t="shared" ref="AQ13:AS13" si="22">AE13+AK13</f>
        <v>125.31554</v>
      </c>
      <c r="AR13" s="79">
        <f t="shared" si="22"/>
        <v>0</v>
      </c>
      <c r="AS13" s="79">
        <f t="shared" si="22"/>
        <v>125.31554</v>
      </c>
      <c r="AT13" s="79"/>
      <c r="AU13" s="79"/>
      <c r="AV13" s="79"/>
      <c r="AW13" s="79">
        <f t="shared" ref="AW13:AY13" si="23">AW14</f>
        <v>0</v>
      </c>
      <c r="AX13" s="79">
        <f t="shared" si="23"/>
        <v>0</v>
      </c>
      <c r="AY13" s="79">
        <f t="shared" si="23"/>
        <v>0</v>
      </c>
      <c r="AZ13" s="79"/>
      <c r="BA13" s="79"/>
      <c r="BB13" s="79"/>
      <c r="BC13" s="79">
        <f t="shared" ref="BC13:BE13" si="24">AQ13+AW13</f>
        <v>125.31554</v>
      </c>
      <c r="BD13" s="79">
        <f t="shared" si="24"/>
        <v>0</v>
      </c>
      <c r="BE13" s="79">
        <f t="shared" si="24"/>
        <v>125.31554</v>
      </c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79"/>
      <c r="BT13" s="79"/>
      <c r="BU13" s="79"/>
      <c r="BV13" s="79"/>
      <c r="BW13" s="79"/>
      <c r="BX13" s="79"/>
      <c r="BY13" s="79"/>
      <c r="BZ13" s="79"/>
      <c r="CA13" s="79"/>
      <c r="CB13" s="79"/>
      <c r="CC13" s="79"/>
      <c r="CD13" s="79"/>
      <c r="CE13" s="79"/>
      <c r="CF13" s="79"/>
      <c r="CG13" s="79"/>
      <c r="CH13" s="79"/>
      <c r="CI13" s="79"/>
      <c r="CJ13" s="79"/>
      <c r="CK13" s="79"/>
      <c r="CL13" s="79"/>
      <c r="CM13" s="79"/>
      <c r="CN13" s="79"/>
      <c r="CO13" s="79"/>
      <c r="CP13" s="79"/>
      <c r="CQ13" s="79"/>
      <c r="CR13" s="79"/>
      <c r="CS13" s="79"/>
      <c r="CT13" s="79"/>
      <c r="CU13" s="79"/>
      <c r="CV13" s="79"/>
      <c r="CW13" s="79"/>
      <c r="CX13" s="79"/>
      <c r="CY13" s="79"/>
      <c r="CZ13" s="79"/>
      <c r="DA13" s="79"/>
      <c r="DB13" s="79"/>
      <c r="DC13" s="79"/>
      <c r="DD13" s="79"/>
      <c r="DE13" s="79"/>
      <c r="DF13" s="79"/>
      <c r="DG13" s="79"/>
      <c r="DH13" s="79"/>
      <c r="DI13" s="79"/>
      <c r="DJ13" s="79"/>
      <c r="DK13" s="79"/>
      <c r="DL13" s="79"/>
      <c r="DM13" s="79"/>
      <c r="DN13" s="79"/>
      <c r="DO13" s="79"/>
      <c r="DP13" s="79"/>
      <c r="DQ13" s="79"/>
      <c r="DR13" s="79"/>
      <c r="DS13" s="79"/>
      <c r="DT13" s="79"/>
      <c r="DU13" s="80"/>
      <c r="DV13" s="80"/>
      <c r="DW13" s="80"/>
      <c r="DX13" s="80"/>
      <c r="DY13" s="80"/>
      <c r="DZ13" s="75"/>
      <c r="EA13" s="76"/>
    </row>
    <row r="14" ht="21.75" customHeight="1">
      <c r="A14" s="64"/>
      <c r="B14" s="70"/>
      <c r="C14" s="71"/>
      <c r="D14" s="71"/>
      <c r="E14" s="71"/>
      <c r="F14" s="81" t="s">
        <v>47</v>
      </c>
      <c r="G14" s="73"/>
      <c r="H14" s="73"/>
      <c r="I14" s="73"/>
      <c r="J14" s="73"/>
      <c r="K14" s="73"/>
      <c r="L14" s="73"/>
      <c r="M14" s="73">
        <f>N14+O14</f>
        <v>0</v>
      </c>
      <c r="N14" s="73">
        <v>0.0</v>
      </c>
      <c r="O14" s="73">
        <v>0.0</v>
      </c>
      <c r="P14" s="73"/>
      <c r="Q14" s="73"/>
      <c r="R14" s="73"/>
      <c r="S14" s="73">
        <v>125.31554</v>
      </c>
      <c r="T14" s="73">
        <v>0.0</v>
      </c>
      <c r="U14" s="73">
        <v>125.31554</v>
      </c>
      <c r="V14" s="73"/>
      <c r="W14" s="73"/>
      <c r="X14" s="73"/>
      <c r="Y14" s="73">
        <v>0.0</v>
      </c>
      <c r="Z14" s="73">
        <v>0.0</v>
      </c>
      <c r="AA14" s="73">
        <v>0.0</v>
      </c>
      <c r="AB14" s="73"/>
      <c r="AC14" s="73"/>
      <c r="AD14" s="73"/>
      <c r="AE14" s="73">
        <f t="shared" ref="AE14:AG14" si="25">M14+S14+Y14</f>
        <v>125.31554</v>
      </c>
      <c r="AF14" s="73">
        <f t="shared" si="25"/>
        <v>0</v>
      </c>
      <c r="AG14" s="73">
        <f t="shared" si="25"/>
        <v>125.31554</v>
      </c>
      <c r="AH14" s="73"/>
      <c r="AI14" s="73"/>
      <c r="AJ14" s="73"/>
      <c r="AK14" s="73">
        <v>0.0</v>
      </c>
      <c r="AL14" s="73">
        <v>0.0</v>
      </c>
      <c r="AM14" s="73">
        <v>0.0</v>
      </c>
      <c r="AN14" s="73"/>
      <c r="AO14" s="73"/>
      <c r="AP14" s="73"/>
      <c r="AQ14" s="73">
        <f t="shared" ref="AQ14:AS14" si="26">AE14+AK14</f>
        <v>125.31554</v>
      </c>
      <c r="AR14" s="73">
        <f t="shared" si="26"/>
        <v>0</v>
      </c>
      <c r="AS14" s="73">
        <f t="shared" si="26"/>
        <v>125.31554</v>
      </c>
      <c r="AT14" s="73"/>
      <c r="AU14" s="73"/>
      <c r="AV14" s="73"/>
      <c r="AW14" s="73">
        <v>0.0</v>
      </c>
      <c r="AX14" s="73">
        <v>0.0</v>
      </c>
      <c r="AY14" s="73">
        <v>0.0</v>
      </c>
      <c r="AZ14" s="73"/>
      <c r="BA14" s="73"/>
      <c r="BB14" s="73"/>
      <c r="BC14" s="73">
        <f t="shared" ref="BC14:BE14" si="27">AQ14+AW14</f>
        <v>125.31554</v>
      </c>
      <c r="BD14" s="73">
        <f t="shared" si="27"/>
        <v>0</v>
      </c>
      <c r="BE14" s="73">
        <f t="shared" si="27"/>
        <v>125.31554</v>
      </c>
      <c r="BF14" s="73"/>
      <c r="BG14" s="73"/>
      <c r="BH14" s="73"/>
      <c r="BI14" s="73"/>
      <c r="BJ14" s="73"/>
      <c r="BK14" s="73"/>
      <c r="BL14" s="73"/>
      <c r="BM14" s="73"/>
      <c r="BN14" s="73"/>
      <c r="BO14" s="73"/>
      <c r="BP14" s="73"/>
      <c r="BQ14" s="73"/>
      <c r="BR14" s="73"/>
      <c r="BS14" s="73"/>
      <c r="BT14" s="73"/>
      <c r="BU14" s="73"/>
      <c r="BV14" s="73"/>
      <c r="BW14" s="73"/>
      <c r="BX14" s="73"/>
      <c r="BY14" s="73"/>
      <c r="BZ14" s="73"/>
      <c r="CA14" s="73"/>
      <c r="CB14" s="73"/>
      <c r="CC14" s="73"/>
      <c r="CD14" s="73"/>
      <c r="CE14" s="73"/>
      <c r="CF14" s="73"/>
      <c r="CG14" s="73"/>
      <c r="CH14" s="73"/>
      <c r="CI14" s="73"/>
      <c r="CJ14" s="73"/>
      <c r="CK14" s="73"/>
      <c r="CL14" s="73"/>
      <c r="CM14" s="73"/>
      <c r="CN14" s="73"/>
      <c r="CO14" s="73"/>
      <c r="CP14" s="73"/>
      <c r="CQ14" s="73"/>
      <c r="CR14" s="73"/>
      <c r="CS14" s="73"/>
      <c r="CT14" s="73"/>
      <c r="CU14" s="73"/>
      <c r="CV14" s="73"/>
      <c r="CW14" s="73"/>
      <c r="CX14" s="73"/>
      <c r="CY14" s="73"/>
      <c r="CZ14" s="73"/>
      <c r="DA14" s="73"/>
      <c r="DB14" s="73"/>
      <c r="DC14" s="73"/>
      <c r="DD14" s="73"/>
      <c r="DE14" s="73"/>
      <c r="DF14" s="73"/>
      <c r="DG14" s="73"/>
      <c r="DH14" s="73"/>
      <c r="DI14" s="73"/>
      <c r="DJ14" s="73"/>
      <c r="DK14" s="73"/>
      <c r="DL14" s="73"/>
      <c r="DM14" s="73"/>
      <c r="DN14" s="73"/>
      <c r="DO14" s="73"/>
      <c r="DP14" s="73"/>
      <c r="DQ14" s="73"/>
      <c r="DR14" s="73"/>
      <c r="DS14" s="73"/>
      <c r="DT14" s="73"/>
      <c r="DU14" s="74"/>
      <c r="DV14" s="74"/>
      <c r="DW14" s="74"/>
      <c r="DX14" s="74"/>
      <c r="DY14" s="74"/>
      <c r="DZ14" s="75"/>
      <c r="EA14" s="76"/>
    </row>
    <row r="15" ht="21.75" customHeight="1">
      <c r="A15" s="77"/>
      <c r="B15" s="44"/>
      <c r="C15" s="45"/>
      <c r="D15" s="45"/>
      <c r="E15" s="45"/>
      <c r="F15" s="78" t="s">
        <v>48</v>
      </c>
      <c r="G15" s="79"/>
      <c r="H15" s="79"/>
      <c r="I15" s="79"/>
      <c r="J15" s="79"/>
      <c r="K15" s="79"/>
      <c r="L15" s="79"/>
      <c r="M15" s="79">
        <f t="shared" ref="M15:O15" si="28">M16+M17</f>
        <v>27635.42699</v>
      </c>
      <c r="N15" s="79">
        <f t="shared" si="28"/>
        <v>0</v>
      </c>
      <c r="O15" s="79">
        <f t="shared" si="28"/>
        <v>27635.42699</v>
      </c>
      <c r="P15" s="79"/>
      <c r="Q15" s="79"/>
      <c r="R15" s="79"/>
      <c r="S15" s="79">
        <f t="shared" ref="S15:U15" si="29">S16+S17</f>
        <v>40483.69222</v>
      </c>
      <c r="T15" s="79">
        <f t="shared" si="29"/>
        <v>0</v>
      </c>
      <c r="U15" s="79">
        <f t="shared" si="29"/>
        <v>40483.69222</v>
      </c>
      <c r="V15" s="79"/>
      <c r="W15" s="79"/>
      <c r="X15" s="79"/>
      <c r="Y15" s="79">
        <f t="shared" ref="Y15:AA15" si="30">Y16+Y17</f>
        <v>31406.31761</v>
      </c>
      <c r="Z15" s="79">
        <f t="shared" si="30"/>
        <v>0</v>
      </c>
      <c r="AA15" s="79">
        <f t="shared" si="30"/>
        <v>31406.31761</v>
      </c>
      <c r="AB15" s="79"/>
      <c r="AC15" s="79"/>
      <c r="AD15" s="79"/>
      <c r="AE15" s="79">
        <f t="shared" ref="AE15:AG15" si="31">M15+S15+Y15</f>
        <v>99525.43682</v>
      </c>
      <c r="AF15" s="79">
        <f t="shared" si="31"/>
        <v>0</v>
      </c>
      <c r="AG15" s="79">
        <f t="shared" si="31"/>
        <v>99525.43682</v>
      </c>
      <c r="AH15" s="79"/>
      <c r="AI15" s="79"/>
      <c r="AJ15" s="79"/>
      <c r="AK15" s="79">
        <f t="shared" ref="AK15:AM15" si="32">AK16+AK17</f>
        <v>27494.92104</v>
      </c>
      <c r="AL15" s="79">
        <f t="shared" si="32"/>
        <v>0</v>
      </c>
      <c r="AM15" s="79">
        <f t="shared" si="32"/>
        <v>27494.92104</v>
      </c>
      <c r="AN15" s="79"/>
      <c r="AO15" s="79"/>
      <c r="AP15" s="79"/>
      <c r="AQ15" s="79">
        <f t="shared" ref="AQ15:AS15" si="33">AE15+AK15</f>
        <v>127020.3579</v>
      </c>
      <c r="AR15" s="79">
        <f t="shared" si="33"/>
        <v>0</v>
      </c>
      <c r="AS15" s="79">
        <f t="shared" si="33"/>
        <v>127020.3579</v>
      </c>
      <c r="AT15" s="79"/>
      <c r="AU15" s="79"/>
      <c r="AV15" s="79"/>
      <c r="AW15" s="79">
        <f t="shared" ref="AW15:AY15" si="34">AW16+AW17</f>
        <v>29172.43711</v>
      </c>
      <c r="AX15" s="79">
        <f t="shared" si="34"/>
        <v>0</v>
      </c>
      <c r="AY15" s="79">
        <f t="shared" si="34"/>
        <v>29172.43711</v>
      </c>
      <c r="AZ15" s="79"/>
      <c r="BA15" s="79"/>
      <c r="BB15" s="79"/>
      <c r="BC15" s="79">
        <f t="shared" ref="BC15:BE15" si="35">AQ15+AW15</f>
        <v>156192.795</v>
      </c>
      <c r="BD15" s="79">
        <f t="shared" si="35"/>
        <v>0</v>
      </c>
      <c r="BE15" s="79">
        <f t="shared" si="35"/>
        <v>156192.795</v>
      </c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79"/>
      <c r="BT15" s="79"/>
      <c r="BU15" s="79"/>
      <c r="BV15" s="79"/>
      <c r="BW15" s="79"/>
      <c r="BX15" s="79"/>
      <c r="BY15" s="79"/>
      <c r="BZ15" s="79"/>
      <c r="CA15" s="79"/>
      <c r="CB15" s="79"/>
      <c r="CC15" s="79"/>
      <c r="CD15" s="79"/>
      <c r="CE15" s="79"/>
      <c r="CF15" s="79"/>
      <c r="CG15" s="79"/>
      <c r="CH15" s="79"/>
      <c r="CI15" s="79"/>
      <c r="CJ15" s="79"/>
      <c r="CK15" s="79"/>
      <c r="CL15" s="79"/>
      <c r="CM15" s="79"/>
      <c r="CN15" s="79"/>
      <c r="CO15" s="79"/>
      <c r="CP15" s="79"/>
      <c r="CQ15" s="79"/>
      <c r="CR15" s="79"/>
      <c r="CS15" s="79"/>
      <c r="CT15" s="79"/>
      <c r="CU15" s="79"/>
      <c r="CV15" s="79"/>
      <c r="CW15" s="79"/>
      <c r="CX15" s="79"/>
      <c r="CY15" s="79"/>
      <c r="CZ15" s="79"/>
      <c r="DA15" s="79"/>
      <c r="DB15" s="79"/>
      <c r="DC15" s="79"/>
      <c r="DD15" s="79"/>
      <c r="DE15" s="79"/>
      <c r="DF15" s="79"/>
      <c r="DG15" s="79"/>
      <c r="DH15" s="79"/>
      <c r="DI15" s="79"/>
      <c r="DJ15" s="79"/>
      <c r="DK15" s="79"/>
      <c r="DL15" s="79"/>
      <c r="DM15" s="79"/>
      <c r="DN15" s="79"/>
      <c r="DO15" s="79"/>
      <c r="DP15" s="79"/>
      <c r="DQ15" s="79"/>
      <c r="DR15" s="79"/>
      <c r="DS15" s="79"/>
      <c r="DT15" s="79"/>
      <c r="DU15" s="80"/>
      <c r="DV15" s="80"/>
      <c r="DW15" s="80"/>
      <c r="DX15" s="80"/>
      <c r="DY15" s="80"/>
      <c r="DZ15" s="75"/>
      <c r="EA15" s="82"/>
    </row>
    <row r="16" ht="21.75" customHeight="1">
      <c r="A16" s="64"/>
      <c r="B16" s="70"/>
      <c r="C16" s="71"/>
      <c r="D16" s="71"/>
      <c r="E16" s="71"/>
      <c r="F16" s="81" t="s">
        <v>47</v>
      </c>
      <c r="G16" s="73"/>
      <c r="H16" s="73"/>
      <c r="I16" s="73"/>
      <c r="J16" s="73"/>
      <c r="K16" s="73"/>
      <c r="L16" s="73"/>
      <c r="M16" s="73">
        <v>27635.42699</v>
      </c>
      <c r="N16" s="73">
        <v>0.0</v>
      </c>
      <c r="O16" s="83">
        <v>27635.42699</v>
      </c>
      <c r="P16" s="73"/>
      <c r="Q16" s="73"/>
      <c r="R16" s="73"/>
      <c r="S16" s="73">
        <v>40483.69222</v>
      </c>
      <c r="T16" s="73">
        <v>0.0</v>
      </c>
      <c r="U16" s="73">
        <v>40483.69222</v>
      </c>
      <c r="V16" s="73"/>
      <c r="W16" s="73"/>
      <c r="X16" s="73"/>
      <c r="Y16" s="73">
        <f t="shared" ref="Y16:Y17" si="39">Z16+AA16</f>
        <v>31592.86667</v>
      </c>
      <c r="Z16" s="73">
        <v>0.0</v>
      </c>
      <c r="AA16" s="73">
        <v>31592.86667</v>
      </c>
      <c r="AB16" s="73"/>
      <c r="AC16" s="73"/>
      <c r="AD16" s="73"/>
      <c r="AE16" s="73">
        <f t="shared" ref="AE16:AG16" si="36">M16+S16+Y16</f>
        <v>99711.98588</v>
      </c>
      <c r="AF16" s="73">
        <f t="shared" si="36"/>
        <v>0</v>
      </c>
      <c r="AG16" s="73">
        <f t="shared" si="36"/>
        <v>99711.98588</v>
      </c>
      <c r="AH16" s="73"/>
      <c r="AI16" s="73"/>
      <c r="AJ16" s="73"/>
      <c r="AK16" s="73">
        <v>27608.11009</v>
      </c>
      <c r="AL16" s="73">
        <v>0.0</v>
      </c>
      <c r="AM16" s="73">
        <v>27608.11009</v>
      </c>
      <c r="AN16" s="73"/>
      <c r="AO16" s="73"/>
      <c r="AP16" s="73"/>
      <c r="AQ16" s="73">
        <f t="shared" ref="AQ16:AS16" si="37">AE16+AK16</f>
        <v>127320.096</v>
      </c>
      <c r="AR16" s="73">
        <f t="shared" si="37"/>
        <v>0</v>
      </c>
      <c r="AS16" s="73">
        <f t="shared" si="37"/>
        <v>127320.096</v>
      </c>
      <c r="AT16" s="73"/>
      <c r="AU16" s="73"/>
      <c r="AV16" s="73"/>
      <c r="AW16" s="73">
        <f>18054.08785+11219.97998</f>
        <v>29274.06783</v>
      </c>
      <c r="AX16" s="73">
        <v>0.0</v>
      </c>
      <c r="AY16" s="73">
        <f>18054.08785+11219.97998</f>
        <v>29274.06783</v>
      </c>
      <c r="AZ16" s="73"/>
      <c r="BA16" s="73"/>
      <c r="BB16" s="73"/>
      <c r="BC16" s="73">
        <f t="shared" ref="BC16:BE16" si="38">AQ16+AW16</f>
        <v>156594.1638</v>
      </c>
      <c r="BD16" s="73">
        <f t="shared" si="38"/>
        <v>0</v>
      </c>
      <c r="BE16" s="73">
        <f t="shared" si="38"/>
        <v>156594.1638</v>
      </c>
      <c r="BF16" s="73"/>
      <c r="BG16" s="73"/>
      <c r="BH16" s="73"/>
      <c r="BI16" s="73"/>
      <c r="BJ16" s="73"/>
      <c r="BK16" s="73"/>
      <c r="BL16" s="73"/>
      <c r="BM16" s="73"/>
      <c r="BN16" s="73"/>
      <c r="BO16" s="73"/>
      <c r="BP16" s="73"/>
      <c r="BQ16" s="73"/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73"/>
      <c r="DA16" s="73"/>
      <c r="DB16" s="73"/>
      <c r="DC16" s="73"/>
      <c r="DD16" s="73"/>
      <c r="DE16" s="73"/>
      <c r="DF16" s="73"/>
      <c r="DG16" s="73"/>
      <c r="DH16" s="73"/>
      <c r="DI16" s="73"/>
      <c r="DJ16" s="73"/>
      <c r="DK16" s="73"/>
      <c r="DL16" s="73"/>
      <c r="DM16" s="73"/>
      <c r="DN16" s="73"/>
      <c r="DO16" s="73"/>
      <c r="DP16" s="73"/>
      <c r="DQ16" s="73"/>
      <c r="DR16" s="73"/>
      <c r="DS16" s="73"/>
      <c r="DT16" s="73"/>
      <c r="DU16" s="74"/>
      <c r="DV16" s="74"/>
      <c r="DW16" s="74"/>
      <c r="DX16" s="74"/>
      <c r="DY16" s="74"/>
      <c r="DZ16" s="75"/>
      <c r="EA16" s="76" t="s">
        <v>49</v>
      </c>
    </row>
    <row r="17" ht="21.75" customHeight="1">
      <c r="A17" s="64"/>
      <c r="B17" s="70"/>
      <c r="C17" s="71"/>
      <c r="D17" s="71"/>
      <c r="E17" s="71"/>
      <c r="F17" s="81" t="s">
        <v>50</v>
      </c>
      <c r="G17" s="73"/>
      <c r="H17" s="73"/>
      <c r="I17" s="73"/>
      <c r="J17" s="73"/>
      <c r="K17" s="73"/>
      <c r="L17" s="73"/>
      <c r="M17" s="73">
        <v>0.0</v>
      </c>
      <c r="N17" s="73">
        <v>0.0</v>
      </c>
      <c r="O17" s="83">
        <v>0.0</v>
      </c>
      <c r="P17" s="73"/>
      <c r="Q17" s="73"/>
      <c r="R17" s="73"/>
      <c r="S17" s="73">
        <v>0.0</v>
      </c>
      <c r="T17" s="73">
        <v>0.0</v>
      </c>
      <c r="U17" s="73">
        <v>0.0</v>
      </c>
      <c r="V17" s="73"/>
      <c r="W17" s="73"/>
      <c r="X17" s="73"/>
      <c r="Y17" s="73">
        <f t="shared" si="39"/>
        <v>-186.54906</v>
      </c>
      <c r="Z17" s="73">
        <v>0.0</v>
      </c>
      <c r="AA17" s="73">
        <v>-186.54906</v>
      </c>
      <c r="AB17" s="73"/>
      <c r="AC17" s="73"/>
      <c r="AD17" s="73"/>
      <c r="AE17" s="73">
        <f t="shared" ref="AE17:AG17" si="40">M17+S17+Y17</f>
        <v>-186.54906</v>
      </c>
      <c r="AF17" s="73">
        <f t="shared" si="40"/>
        <v>0</v>
      </c>
      <c r="AG17" s="73">
        <f t="shared" si="40"/>
        <v>-186.54906</v>
      </c>
      <c r="AH17" s="73"/>
      <c r="AI17" s="73"/>
      <c r="AJ17" s="73"/>
      <c r="AK17" s="73">
        <v>-113.18905</v>
      </c>
      <c r="AL17" s="73">
        <v>0.0</v>
      </c>
      <c r="AM17" s="73">
        <v>-113.18905</v>
      </c>
      <c r="AN17" s="73"/>
      <c r="AO17" s="73"/>
      <c r="AP17" s="73"/>
      <c r="AQ17" s="73">
        <f t="shared" ref="AQ17:AS17" si="41">AE17+AK17</f>
        <v>-299.73811</v>
      </c>
      <c r="AR17" s="73">
        <f t="shared" si="41"/>
        <v>0</v>
      </c>
      <c r="AS17" s="73">
        <f t="shared" si="41"/>
        <v>-299.73811</v>
      </c>
      <c r="AT17" s="73"/>
      <c r="AU17" s="73"/>
      <c r="AV17" s="73"/>
      <c r="AW17" s="73">
        <v>-101.63072</v>
      </c>
      <c r="AX17" s="73">
        <v>0.0</v>
      </c>
      <c r="AY17" s="73">
        <v>-101.63072</v>
      </c>
      <c r="AZ17" s="73"/>
      <c r="BA17" s="73"/>
      <c r="BB17" s="73"/>
      <c r="BC17" s="73">
        <f t="shared" ref="BC17:BE17" si="42">AQ17+AW17</f>
        <v>-401.36883</v>
      </c>
      <c r="BD17" s="73">
        <f t="shared" si="42"/>
        <v>0</v>
      </c>
      <c r="BE17" s="73">
        <f t="shared" si="42"/>
        <v>-401.36883</v>
      </c>
      <c r="BF17" s="73"/>
      <c r="BG17" s="73"/>
      <c r="BH17" s="73"/>
      <c r="BI17" s="73"/>
      <c r="BJ17" s="73"/>
      <c r="BK17" s="73"/>
      <c r="BL17" s="73"/>
      <c r="BM17" s="73"/>
      <c r="BN17" s="73"/>
      <c r="BO17" s="73"/>
      <c r="BP17" s="73"/>
      <c r="BQ17" s="73"/>
      <c r="BR17" s="73"/>
      <c r="BS17" s="73"/>
      <c r="BT17" s="73"/>
      <c r="BU17" s="73"/>
      <c r="BV17" s="73"/>
      <c r="BW17" s="73"/>
      <c r="BX17" s="73"/>
      <c r="BY17" s="73"/>
      <c r="BZ17" s="73"/>
      <c r="CA17" s="73"/>
      <c r="CB17" s="73"/>
      <c r="CC17" s="73"/>
      <c r="CD17" s="73"/>
      <c r="CE17" s="73"/>
      <c r="CF17" s="73"/>
      <c r="CG17" s="73"/>
      <c r="CH17" s="73"/>
      <c r="CI17" s="73"/>
      <c r="CJ17" s="73"/>
      <c r="CK17" s="73"/>
      <c r="CL17" s="73"/>
      <c r="CM17" s="73"/>
      <c r="CN17" s="73"/>
      <c r="CO17" s="73"/>
      <c r="CP17" s="73"/>
      <c r="CQ17" s="73"/>
      <c r="CR17" s="73"/>
      <c r="CS17" s="73"/>
      <c r="CT17" s="73"/>
      <c r="CU17" s="73"/>
      <c r="CV17" s="73"/>
      <c r="CW17" s="73"/>
      <c r="CX17" s="73"/>
      <c r="CY17" s="73"/>
      <c r="CZ17" s="73"/>
      <c r="DA17" s="73"/>
      <c r="DB17" s="73"/>
      <c r="DC17" s="73"/>
      <c r="DD17" s="73"/>
      <c r="DE17" s="73"/>
      <c r="DF17" s="73"/>
      <c r="DG17" s="73"/>
      <c r="DH17" s="73"/>
      <c r="DI17" s="73"/>
      <c r="DJ17" s="73"/>
      <c r="DK17" s="73"/>
      <c r="DL17" s="73"/>
      <c r="DM17" s="73"/>
      <c r="DN17" s="73"/>
      <c r="DO17" s="73"/>
      <c r="DP17" s="73"/>
      <c r="DQ17" s="73"/>
      <c r="DR17" s="73"/>
      <c r="DS17" s="73"/>
      <c r="DT17" s="73"/>
      <c r="DU17" s="74"/>
      <c r="DV17" s="74"/>
      <c r="DW17" s="74"/>
      <c r="DX17" s="74"/>
      <c r="DY17" s="74"/>
      <c r="DZ17" s="75"/>
      <c r="EA17" s="76"/>
    </row>
    <row r="18" ht="21.75" customHeight="1">
      <c r="A18" s="77"/>
      <c r="B18" s="44"/>
      <c r="C18" s="45"/>
      <c r="D18" s="45"/>
      <c r="E18" s="45"/>
      <c r="F18" s="78" t="s">
        <v>51</v>
      </c>
      <c r="G18" s="79"/>
      <c r="H18" s="79"/>
      <c r="I18" s="79"/>
      <c r="J18" s="79"/>
      <c r="K18" s="79"/>
      <c r="L18" s="79"/>
      <c r="M18" s="79">
        <f t="shared" ref="M18:O18" si="43">M19+M20</f>
        <v>1407.13133</v>
      </c>
      <c r="N18" s="79">
        <f t="shared" si="43"/>
        <v>0</v>
      </c>
      <c r="O18" s="79">
        <f t="shared" si="43"/>
        <v>1407.13133</v>
      </c>
      <c r="P18" s="79"/>
      <c r="Q18" s="79"/>
      <c r="R18" s="79"/>
      <c r="S18" s="79">
        <f t="shared" ref="S18:U18" si="44">S19+S20</f>
        <v>0</v>
      </c>
      <c r="T18" s="79">
        <f t="shared" si="44"/>
        <v>0</v>
      </c>
      <c r="U18" s="79">
        <f t="shared" si="44"/>
        <v>0</v>
      </c>
      <c r="V18" s="79"/>
      <c r="W18" s="79"/>
      <c r="X18" s="79"/>
      <c r="Y18" s="79">
        <f t="shared" ref="Y18:AA18" si="45">Y19+Y20</f>
        <v>0</v>
      </c>
      <c r="Z18" s="79">
        <f t="shared" si="45"/>
        <v>0</v>
      </c>
      <c r="AA18" s="79">
        <f t="shared" si="45"/>
        <v>0</v>
      </c>
      <c r="AB18" s="79"/>
      <c r="AC18" s="79"/>
      <c r="AD18" s="79"/>
      <c r="AE18" s="79">
        <f t="shared" ref="AE18:AG18" si="46">M18+S18+Y18</f>
        <v>1407.13133</v>
      </c>
      <c r="AF18" s="79">
        <f t="shared" si="46"/>
        <v>0</v>
      </c>
      <c r="AG18" s="79">
        <f t="shared" si="46"/>
        <v>1407.13133</v>
      </c>
      <c r="AH18" s="79"/>
      <c r="AI18" s="79"/>
      <c r="AJ18" s="79"/>
      <c r="AK18" s="79">
        <f t="shared" ref="AK18:AM18" si="47">AK19+AK20</f>
        <v>0</v>
      </c>
      <c r="AL18" s="79">
        <f t="shared" si="47"/>
        <v>0</v>
      </c>
      <c r="AM18" s="79">
        <f t="shared" si="47"/>
        <v>0</v>
      </c>
      <c r="AN18" s="79"/>
      <c r="AO18" s="79"/>
      <c r="AP18" s="79"/>
      <c r="AQ18" s="79">
        <f t="shared" ref="AQ18:AS18" si="48">AE18+AK18</f>
        <v>1407.13133</v>
      </c>
      <c r="AR18" s="79">
        <f t="shared" si="48"/>
        <v>0</v>
      </c>
      <c r="AS18" s="79">
        <f t="shared" si="48"/>
        <v>1407.13133</v>
      </c>
      <c r="AT18" s="79"/>
      <c r="AU18" s="79"/>
      <c r="AV18" s="79"/>
      <c r="AW18" s="79">
        <f t="shared" ref="AW18:AY18" si="49">AW19+AW20</f>
        <v>0</v>
      </c>
      <c r="AX18" s="79">
        <f t="shared" si="49"/>
        <v>0</v>
      </c>
      <c r="AY18" s="79">
        <f t="shared" si="49"/>
        <v>0</v>
      </c>
      <c r="AZ18" s="79"/>
      <c r="BA18" s="79"/>
      <c r="BB18" s="79"/>
      <c r="BC18" s="79">
        <f t="shared" ref="BC18:BE18" si="50">AQ18+AW18</f>
        <v>1407.13133</v>
      </c>
      <c r="BD18" s="79">
        <f t="shared" si="50"/>
        <v>0</v>
      </c>
      <c r="BE18" s="79">
        <f t="shared" si="50"/>
        <v>1407.13133</v>
      </c>
      <c r="BF18" s="79">
        <f t="shared" ref="BF18:DY18" si="51">BF20+BF21+BF22</f>
        <v>0</v>
      </c>
      <c r="BG18" s="79">
        <f t="shared" si="51"/>
        <v>0</v>
      </c>
      <c r="BH18" s="79">
        <f t="shared" si="51"/>
        <v>0</v>
      </c>
      <c r="BI18" s="79">
        <f t="shared" si="51"/>
        <v>0</v>
      </c>
      <c r="BJ18" s="79">
        <f t="shared" si="51"/>
        <v>0</v>
      </c>
      <c r="BK18" s="79">
        <f t="shared" si="51"/>
        <v>0</v>
      </c>
      <c r="BL18" s="79">
        <f t="shared" si="51"/>
        <v>0</v>
      </c>
      <c r="BM18" s="79">
        <f t="shared" si="51"/>
        <v>0</v>
      </c>
      <c r="BN18" s="79">
        <f t="shared" si="51"/>
        <v>0</v>
      </c>
      <c r="BO18" s="79">
        <f t="shared" si="51"/>
        <v>0</v>
      </c>
      <c r="BP18" s="79">
        <f t="shared" si="51"/>
        <v>0</v>
      </c>
      <c r="BQ18" s="79">
        <f t="shared" si="51"/>
        <v>0</v>
      </c>
      <c r="BR18" s="79">
        <f t="shared" si="51"/>
        <v>0</v>
      </c>
      <c r="BS18" s="79">
        <f t="shared" si="51"/>
        <v>0</v>
      </c>
      <c r="BT18" s="79">
        <f t="shared" si="51"/>
        <v>0</v>
      </c>
      <c r="BU18" s="79">
        <f t="shared" si="51"/>
        <v>0</v>
      </c>
      <c r="BV18" s="79">
        <f t="shared" si="51"/>
        <v>0</v>
      </c>
      <c r="BW18" s="79">
        <f t="shared" si="51"/>
        <v>0</v>
      </c>
      <c r="BX18" s="79">
        <f t="shared" si="51"/>
        <v>0</v>
      </c>
      <c r="BY18" s="79">
        <f t="shared" si="51"/>
        <v>0</v>
      </c>
      <c r="BZ18" s="79">
        <f t="shared" si="51"/>
        <v>0</v>
      </c>
      <c r="CA18" s="79">
        <f t="shared" si="51"/>
        <v>0</v>
      </c>
      <c r="CB18" s="79">
        <f t="shared" si="51"/>
        <v>0</v>
      </c>
      <c r="CC18" s="79">
        <f t="shared" si="51"/>
        <v>0</v>
      </c>
      <c r="CD18" s="79">
        <f t="shared" si="51"/>
        <v>0</v>
      </c>
      <c r="CE18" s="79">
        <f t="shared" si="51"/>
        <v>0</v>
      </c>
      <c r="CF18" s="79">
        <f t="shared" si="51"/>
        <v>0</v>
      </c>
      <c r="CG18" s="79">
        <f t="shared" si="51"/>
        <v>0</v>
      </c>
      <c r="CH18" s="79">
        <f t="shared" si="51"/>
        <v>0</v>
      </c>
      <c r="CI18" s="79">
        <f t="shared" si="51"/>
        <v>0</v>
      </c>
      <c r="CJ18" s="79">
        <f t="shared" si="51"/>
        <v>0</v>
      </c>
      <c r="CK18" s="79">
        <f t="shared" si="51"/>
        <v>0</v>
      </c>
      <c r="CL18" s="79">
        <f t="shared" si="51"/>
        <v>0</v>
      </c>
      <c r="CM18" s="79">
        <f t="shared" si="51"/>
        <v>0</v>
      </c>
      <c r="CN18" s="79">
        <f t="shared" si="51"/>
        <v>0</v>
      </c>
      <c r="CO18" s="79">
        <f t="shared" si="51"/>
        <v>0</v>
      </c>
      <c r="CP18" s="79">
        <f t="shared" si="51"/>
        <v>0</v>
      </c>
      <c r="CQ18" s="79">
        <f t="shared" si="51"/>
        <v>0</v>
      </c>
      <c r="CR18" s="79">
        <f t="shared" si="51"/>
        <v>0</v>
      </c>
      <c r="CS18" s="79">
        <f t="shared" si="51"/>
        <v>0</v>
      </c>
      <c r="CT18" s="79">
        <f t="shared" si="51"/>
        <v>0</v>
      </c>
      <c r="CU18" s="79">
        <f t="shared" si="51"/>
        <v>0</v>
      </c>
      <c r="CV18" s="79">
        <f t="shared" si="51"/>
        <v>0</v>
      </c>
      <c r="CW18" s="79">
        <f t="shared" si="51"/>
        <v>0</v>
      </c>
      <c r="CX18" s="79">
        <f t="shared" si="51"/>
        <v>0</v>
      </c>
      <c r="CY18" s="79">
        <f t="shared" si="51"/>
        <v>0</v>
      </c>
      <c r="CZ18" s="79">
        <f t="shared" si="51"/>
        <v>0</v>
      </c>
      <c r="DA18" s="79">
        <f t="shared" si="51"/>
        <v>0</v>
      </c>
      <c r="DB18" s="79">
        <f t="shared" si="51"/>
        <v>0</v>
      </c>
      <c r="DC18" s="79">
        <f t="shared" si="51"/>
        <v>0</v>
      </c>
      <c r="DD18" s="79">
        <f t="shared" si="51"/>
        <v>0</v>
      </c>
      <c r="DE18" s="79">
        <f t="shared" si="51"/>
        <v>0</v>
      </c>
      <c r="DF18" s="79">
        <f t="shared" si="51"/>
        <v>0</v>
      </c>
      <c r="DG18" s="79">
        <f t="shared" si="51"/>
        <v>0</v>
      </c>
      <c r="DH18" s="79">
        <f t="shared" si="51"/>
        <v>0</v>
      </c>
      <c r="DI18" s="79">
        <f t="shared" si="51"/>
        <v>0</v>
      </c>
      <c r="DJ18" s="79">
        <f t="shared" si="51"/>
        <v>0</v>
      </c>
      <c r="DK18" s="79">
        <f t="shared" si="51"/>
        <v>0</v>
      </c>
      <c r="DL18" s="79">
        <f t="shared" si="51"/>
        <v>0</v>
      </c>
      <c r="DM18" s="79">
        <f t="shared" si="51"/>
        <v>0</v>
      </c>
      <c r="DN18" s="79">
        <f t="shared" si="51"/>
        <v>0</v>
      </c>
      <c r="DO18" s="79">
        <f t="shared" si="51"/>
        <v>0</v>
      </c>
      <c r="DP18" s="79">
        <f t="shared" si="51"/>
        <v>0</v>
      </c>
      <c r="DQ18" s="79">
        <f t="shared" si="51"/>
        <v>0</v>
      </c>
      <c r="DR18" s="79">
        <f t="shared" si="51"/>
        <v>0</v>
      </c>
      <c r="DS18" s="79">
        <f t="shared" si="51"/>
        <v>0</v>
      </c>
      <c r="DT18" s="79">
        <f t="shared" si="51"/>
        <v>0</v>
      </c>
      <c r="DU18" s="79">
        <f t="shared" si="51"/>
        <v>0</v>
      </c>
      <c r="DV18" s="79">
        <f t="shared" si="51"/>
        <v>0</v>
      </c>
      <c r="DW18" s="79">
        <f t="shared" si="51"/>
        <v>0</v>
      </c>
      <c r="DX18" s="79">
        <f t="shared" si="51"/>
        <v>0</v>
      </c>
      <c r="DY18" s="79">
        <f t="shared" si="51"/>
        <v>0</v>
      </c>
      <c r="DZ18" s="75"/>
      <c r="EA18" s="76"/>
    </row>
    <row r="19" ht="21.75" customHeight="1">
      <c r="A19" s="64"/>
      <c r="B19" s="70"/>
      <c r="C19" s="71"/>
      <c r="D19" s="71"/>
      <c r="E19" s="71"/>
      <c r="F19" s="81" t="s">
        <v>47</v>
      </c>
      <c r="G19" s="73"/>
      <c r="H19" s="73"/>
      <c r="I19" s="73"/>
      <c r="J19" s="73"/>
      <c r="K19" s="73"/>
      <c r="L19" s="73"/>
      <c r="M19" s="73">
        <v>0.0</v>
      </c>
      <c r="N19" s="73">
        <v>0.0</v>
      </c>
      <c r="O19" s="73">
        <v>0.0</v>
      </c>
      <c r="P19" s="73"/>
      <c r="Q19" s="73"/>
      <c r="R19" s="73"/>
      <c r="S19" s="73">
        <v>0.0</v>
      </c>
      <c r="T19" s="73">
        <v>0.0</v>
      </c>
      <c r="U19" s="73">
        <v>0.0</v>
      </c>
      <c r="V19" s="73"/>
      <c r="W19" s="73"/>
      <c r="X19" s="73"/>
      <c r="Y19" s="73">
        <v>0.0</v>
      </c>
      <c r="Z19" s="73">
        <v>0.0</v>
      </c>
      <c r="AA19" s="73">
        <v>0.0</v>
      </c>
      <c r="AB19" s="73"/>
      <c r="AC19" s="73"/>
      <c r="AD19" s="73"/>
      <c r="AE19" s="73">
        <f t="shared" ref="AE19:AG19" si="52">M19+S19+Y19</f>
        <v>0</v>
      </c>
      <c r="AF19" s="73">
        <f t="shared" si="52"/>
        <v>0</v>
      </c>
      <c r="AG19" s="73">
        <f t="shared" si="52"/>
        <v>0</v>
      </c>
      <c r="AH19" s="73"/>
      <c r="AI19" s="73"/>
      <c r="AJ19" s="73"/>
      <c r="AK19" s="73">
        <v>0.0</v>
      </c>
      <c r="AL19" s="73">
        <v>0.0</v>
      </c>
      <c r="AM19" s="73">
        <v>0.0</v>
      </c>
      <c r="AN19" s="73"/>
      <c r="AO19" s="73"/>
      <c r="AP19" s="73"/>
      <c r="AQ19" s="73">
        <f t="shared" ref="AQ19:AS19" si="53">AE19+AK19</f>
        <v>0</v>
      </c>
      <c r="AR19" s="73">
        <f t="shared" si="53"/>
        <v>0</v>
      </c>
      <c r="AS19" s="73">
        <f t="shared" si="53"/>
        <v>0</v>
      </c>
      <c r="AT19" s="73"/>
      <c r="AU19" s="73"/>
      <c r="AV19" s="73"/>
      <c r="AW19" s="73">
        <v>0.0</v>
      </c>
      <c r="AX19" s="73">
        <v>0.0</v>
      </c>
      <c r="AY19" s="73">
        <v>0.0</v>
      </c>
      <c r="AZ19" s="73"/>
      <c r="BA19" s="73"/>
      <c r="BB19" s="73"/>
      <c r="BC19" s="73">
        <f t="shared" ref="BC19:BE19" si="54">AQ19+AW19</f>
        <v>0</v>
      </c>
      <c r="BD19" s="73">
        <f t="shared" si="54"/>
        <v>0</v>
      </c>
      <c r="BE19" s="73">
        <f t="shared" si="54"/>
        <v>0</v>
      </c>
      <c r="BF19" s="73"/>
      <c r="BG19" s="73"/>
      <c r="BH19" s="73"/>
      <c r="BI19" s="73"/>
      <c r="BJ19" s="73"/>
      <c r="BK19" s="73"/>
      <c r="BL19" s="73"/>
      <c r="BM19" s="73"/>
      <c r="BN19" s="73"/>
      <c r="BO19" s="73"/>
      <c r="BP19" s="73"/>
      <c r="BQ19" s="73"/>
      <c r="BR19" s="73"/>
      <c r="BS19" s="73"/>
      <c r="BT19" s="73"/>
      <c r="BU19" s="73"/>
      <c r="BV19" s="73"/>
      <c r="BW19" s="73"/>
      <c r="BX19" s="73"/>
      <c r="BY19" s="73"/>
      <c r="BZ19" s="73"/>
      <c r="CA19" s="73"/>
      <c r="CB19" s="73"/>
      <c r="CC19" s="73"/>
      <c r="CD19" s="73"/>
      <c r="CE19" s="73"/>
      <c r="CF19" s="73"/>
      <c r="CG19" s="73"/>
      <c r="CH19" s="73"/>
      <c r="CI19" s="73"/>
      <c r="CJ19" s="73"/>
      <c r="CK19" s="73"/>
      <c r="CL19" s="73"/>
      <c r="CM19" s="73"/>
      <c r="CN19" s="73"/>
      <c r="CO19" s="73"/>
      <c r="CP19" s="73"/>
      <c r="CQ19" s="73"/>
      <c r="CR19" s="73"/>
      <c r="CS19" s="73"/>
      <c r="CT19" s="73"/>
      <c r="CU19" s="73"/>
      <c r="CV19" s="73"/>
      <c r="CW19" s="73"/>
      <c r="CX19" s="73"/>
      <c r="CY19" s="73"/>
      <c r="CZ19" s="73"/>
      <c r="DA19" s="73"/>
      <c r="DB19" s="73"/>
      <c r="DC19" s="73"/>
      <c r="DD19" s="73"/>
      <c r="DE19" s="73"/>
      <c r="DF19" s="73"/>
      <c r="DG19" s="73"/>
      <c r="DH19" s="73"/>
      <c r="DI19" s="73"/>
      <c r="DJ19" s="73"/>
      <c r="DK19" s="73"/>
      <c r="DL19" s="73"/>
      <c r="DM19" s="73"/>
      <c r="DN19" s="73"/>
      <c r="DO19" s="73"/>
      <c r="DP19" s="73"/>
      <c r="DQ19" s="73"/>
      <c r="DR19" s="73"/>
      <c r="DS19" s="73"/>
      <c r="DT19" s="73"/>
      <c r="DU19" s="73"/>
      <c r="DV19" s="73"/>
      <c r="DW19" s="73"/>
      <c r="DX19" s="73"/>
      <c r="DY19" s="73"/>
      <c r="DZ19" s="75"/>
      <c r="EA19" s="76"/>
    </row>
    <row r="20" ht="21.75" customHeight="1">
      <c r="A20" s="64"/>
      <c r="B20" s="70"/>
      <c r="C20" s="71"/>
      <c r="D20" s="71"/>
      <c r="E20" s="71"/>
      <c r="F20" s="81" t="s">
        <v>52</v>
      </c>
      <c r="G20" s="73"/>
      <c r="H20" s="73"/>
      <c r="I20" s="73"/>
      <c r="J20" s="73"/>
      <c r="K20" s="73"/>
      <c r="L20" s="73"/>
      <c r="M20" s="73">
        <f t="shared" ref="M20:M22" si="58">N20+O20</f>
        <v>1407.13133</v>
      </c>
      <c r="N20" s="73">
        <v>0.0</v>
      </c>
      <c r="O20" s="83">
        <v>1407.13133</v>
      </c>
      <c r="P20" s="73"/>
      <c r="Q20" s="73"/>
      <c r="R20" s="73"/>
      <c r="S20" s="73">
        <f t="shared" ref="S20:S22" si="59">T20+U20</f>
        <v>0</v>
      </c>
      <c r="T20" s="73">
        <v>0.0</v>
      </c>
      <c r="U20" s="73">
        <v>0.0</v>
      </c>
      <c r="V20" s="73"/>
      <c r="W20" s="73"/>
      <c r="X20" s="73"/>
      <c r="Y20" s="73">
        <f t="shared" ref="Y20:Y22" si="60">Z20+AA20</f>
        <v>0</v>
      </c>
      <c r="Z20" s="73">
        <v>0.0</v>
      </c>
      <c r="AA20" s="73">
        <v>0.0</v>
      </c>
      <c r="AB20" s="73"/>
      <c r="AC20" s="73"/>
      <c r="AD20" s="73"/>
      <c r="AE20" s="73">
        <f t="shared" ref="AE20:AG20" si="55">M20+S20+Y20</f>
        <v>1407.13133</v>
      </c>
      <c r="AF20" s="73">
        <f t="shared" si="55"/>
        <v>0</v>
      </c>
      <c r="AG20" s="73">
        <f t="shared" si="55"/>
        <v>1407.13133</v>
      </c>
      <c r="AH20" s="73"/>
      <c r="AI20" s="73"/>
      <c r="AJ20" s="73"/>
      <c r="AK20" s="73">
        <f t="shared" ref="AK20:AK22" si="62">AL20+AM20</f>
        <v>0</v>
      </c>
      <c r="AL20" s="73">
        <v>0.0</v>
      </c>
      <c r="AM20" s="73">
        <v>0.0</v>
      </c>
      <c r="AN20" s="73"/>
      <c r="AO20" s="73"/>
      <c r="AP20" s="73"/>
      <c r="AQ20" s="73">
        <f t="shared" ref="AQ20:AS20" si="56">AE20+AK20</f>
        <v>1407.13133</v>
      </c>
      <c r="AR20" s="73">
        <f t="shared" si="56"/>
        <v>0</v>
      </c>
      <c r="AS20" s="73">
        <f t="shared" si="56"/>
        <v>1407.13133</v>
      </c>
      <c r="AT20" s="73"/>
      <c r="AU20" s="73"/>
      <c r="AV20" s="73"/>
      <c r="AW20" s="73">
        <v>0.0</v>
      </c>
      <c r="AX20" s="73">
        <v>0.0</v>
      </c>
      <c r="AY20" s="73">
        <v>0.0</v>
      </c>
      <c r="AZ20" s="73"/>
      <c r="BA20" s="73"/>
      <c r="BB20" s="73"/>
      <c r="BC20" s="73">
        <f t="shared" ref="BC20:BE20" si="57">AQ20+AW20</f>
        <v>1407.13133</v>
      </c>
      <c r="BD20" s="73">
        <f t="shared" si="57"/>
        <v>0</v>
      </c>
      <c r="BE20" s="73">
        <f t="shared" si="57"/>
        <v>1407.13133</v>
      </c>
      <c r="BF20" s="73"/>
      <c r="BG20" s="73"/>
      <c r="BH20" s="73"/>
      <c r="BI20" s="73"/>
      <c r="BJ20" s="73"/>
      <c r="BK20" s="73"/>
      <c r="BL20" s="73"/>
      <c r="BM20" s="73"/>
      <c r="BN20" s="73"/>
      <c r="BO20" s="73"/>
      <c r="BP20" s="73"/>
      <c r="BQ20" s="73"/>
      <c r="BR20" s="73"/>
      <c r="BS20" s="73"/>
      <c r="BT20" s="73"/>
      <c r="BU20" s="73"/>
      <c r="BV20" s="73"/>
      <c r="BW20" s="73"/>
      <c r="BX20" s="73"/>
      <c r="BY20" s="73"/>
      <c r="BZ20" s="73"/>
      <c r="CA20" s="73"/>
      <c r="CB20" s="73"/>
      <c r="CC20" s="73"/>
      <c r="CD20" s="73"/>
      <c r="CE20" s="73"/>
      <c r="CF20" s="73"/>
      <c r="CG20" s="73"/>
      <c r="CH20" s="73"/>
      <c r="CI20" s="73"/>
      <c r="CJ20" s="73"/>
      <c r="CK20" s="73"/>
      <c r="CL20" s="73"/>
      <c r="CM20" s="73"/>
      <c r="CN20" s="73"/>
      <c r="CO20" s="73"/>
      <c r="CP20" s="73"/>
      <c r="CQ20" s="73"/>
      <c r="CR20" s="73"/>
      <c r="CS20" s="73"/>
      <c r="CT20" s="73"/>
      <c r="CU20" s="73"/>
      <c r="CV20" s="73"/>
      <c r="CW20" s="73"/>
      <c r="CX20" s="73"/>
      <c r="CY20" s="73"/>
      <c r="CZ20" s="73"/>
      <c r="DA20" s="73"/>
      <c r="DB20" s="73"/>
      <c r="DC20" s="73"/>
      <c r="DD20" s="73"/>
      <c r="DE20" s="73"/>
      <c r="DF20" s="73"/>
      <c r="DG20" s="73"/>
      <c r="DH20" s="73"/>
      <c r="DI20" s="73"/>
      <c r="DJ20" s="73"/>
      <c r="DK20" s="73"/>
      <c r="DL20" s="73"/>
      <c r="DM20" s="73"/>
      <c r="DN20" s="73"/>
      <c r="DO20" s="73"/>
      <c r="DP20" s="73"/>
      <c r="DQ20" s="73"/>
      <c r="DR20" s="73"/>
      <c r="DS20" s="73"/>
      <c r="DT20" s="73"/>
      <c r="DU20" s="74"/>
      <c r="DV20" s="74"/>
      <c r="DW20" s="72"/>
      <c r="DX20" s="72"/>
      <c r="DY20" s="72"/>
      <c r="DZ20" s="75"/>
      <c r="EA20" s="84"/>
    </row>
    <row r="21" ht="21.75" customHeight="1">
      <c r="A21" s="77"/>
      <c r="B21" s="44"/>
      <c r="C21" s="45"/>
      <c r="D21" s="45"/>
      <c r="E21" s="45"/>
      <c r="F21" s="78" t="s">
        <v>53</v>
      </c>
      <c r="G21" s="79"/>
      <c r="H21" s="79"/>
      <c r="I21" s="79"/>
      <c r="J21" s="79"/>
      <c r="K21" s="79"/>
      <c r="L21" s="79"/>
      <c r="M21" s="79">
        <f t="shared" si="58"/>
        <v>0</v>
      </c>
      <c r="N21" s="79">
        <v>0.0</v>
      </c>
      <c r="O21" s="79">
        <v>0.0</v>
      </c>
      <c r="P21" s="79"/>
      <c r="Q21" s="79"/>
      <c r="R21" s="79"/>
      <c r="S21" s="79">
        <f t="shared" si="59"/>
        <v>10898.4833</v>
      </c>
      <c r="T21" s="79">
        <v>0.0</v>
      </c>
      <c r="U21" s="79">
        <v>10898.4833</v>
      </c>
      <c r="V21" s="79"/>
      <c r="W21" s="79"/>
      <c r="X21" s="79"/>
      <c r="Y21" s="79">
        <f t="shared" si="60"/>
        <v>28870.84958</v>
      </c>
      <c r="Z21" s="79">
        <v>0.0</v>
      </c>
      <c r="AA21" s="79">
        <v>28870.84958</v>
      </c>
      <c r="AB21" s="79"/>
      <c r="AC21" s="79"/>
      <c r="AD21" s="79"/>
      <c r="AE21" s="79">
        <f t="shared" ref="AE21:AG21" si="61">M21+S21+Y21</f>
        <v>39769.33288</v>
      </c>
      <c r="AF21" s="79">
        <f t="shared" si="61"/>
        <v>0</v>
      </c>
      <c r="AG21" s="79">
        <f t="shared" si="61"/>
        <v>39769.33288</v>
      </c>
      <c r="AH21" s="79"/>
      <c r="AI21" s="79"/>
      <c r="AJ21" s="79"/>
      <c r="AK21" s="79">
        <f t="shared" si="62"/>
        <v>197884.3716</v>
      </c>
      <c r="AL21" s="79">
        <v>0.0</v>
      </c>
      <c r="AM21" s="79">
        <v>197884.37157</v>
      </c>
      <c r="AN21" s="79"/>
      <c r="AO21" s="79"/>
      <c r="AP21" s="79"/>
      <c r="AQ21" s="79">
        <f t="shared" ref="AQ21:AS21" si="63">AE21+AK21</f>
        <v>237653.7045</v>
      </c>
      <c r="AR21" s="79">
        <f t="shared" si="63"/>
        <v>0</v>
      </c>
      <c r="AS21" s="79">
        <f t="shared" si="63"/>
        <v>237653.7045</v>
      </c>
      <c r="AT21" s="79"/>
      <c r="AU21" s="79"/>
      <c r="AV21" s="79"/>
      <c r="AW21" s="79">
        <f t="shared" ref="AW21:AW22" si="67">AX21+AY21</f>
        <v>70666.06386</v>
      </c>
      <c r="AX21" s="79">
        <v>0.0</v>
      </c>
      <c r="AY21" s="79">
        <v>70666.06386</v>
      </c>
      <c r="AZ21" s="79"/>
      <c r="BA21" s="79"/>
      <c r="BB21" s="79"/>
      <c r="BC21" s="79">
        <f t="shared" ref="BC21:BE21" si="64">AQ21+AW21</f>
        <v>308319.7683</v>
      </c>
      <c r="BD21" s="79">
        <f t="shared" si="64"/>
        <v>0</v>
      </c>
      <c r="BE21" s="79">
        <f t="shared" si="64"/>
        <v>308319.7683</v>
      </c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79"/>
      <c r="BT21" s="79"/>
      <c r="BU21" s="79"/>
      <c r="BV21" s="79"/>
      <c r="BW21" s="79"/>
      <c r="BX21" s="79"/>
      <c r="BY21" s="79"/>
      <c r="BZ21" s="79"/>
      <c r="CA21" s="79"/>
      <c r="CB21" s="79"/>
      <c r="CC21" s="79"/>
      <c r="CD21" s="79"/>
      <c r="CE21" s="79"/>
      <c r="CF21" s="79"/>
      <c r="CG21" s="79"/>
      <c r="CH21" s="79"/>
      <c r="CI21" s="79"/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  <c r="CX21" s="79"/>
      <c r="CY21" s="79"/>
      <c r="CZ21" s="79"/>
      <c r="DA21" s="79"/>
      <c r="DB21" s="79"/>
      <c r="DC21" s="79"/>
      <c r="DD21" s="79"/>
      <c r="DE21" s="79"/>
      <c r="DF21" s="79"/>
      <c r="DG21" s="79"/>
      <c r="DH21" s="79"/>
      <c r="DI21" s="79"/>
      <c r="DJ21" s="79"/>
      <c r="DK21" s="79"/>
      <c r="DL21" s="79"/>
      <c r="DM21" s="79"/>
      <c r="DN21" s="79"/>
      <c r="DO21" s="79"/>
      <c r="DP21" s="79"/>
      <c r="DQ21" s="79"/>
      <c r="DR21" s="79"/>
      <c r="DS21" s="79"/>
      <c r="DT21" s="79"/>
      <c r="DU21" s="80"/>
      <c r="DV21" s="80"/>
      <c r="DW21" s="85"/>
      <c r="DX21" s="85"/>
      <c r="DY21" s="85"/>
      <c r="DZ21" s="72"/>
      <c r="EA21" s="82" t="s">
        <v>54</v>
      </c>
    </row>
    <row r="22" ht="21.75" customHeight="1">
      <c r="A22" s="58"/>
      <c r="B22" s="86"/>
      <c r="C22" s="87"/>
      <c r="D22" s="87"/>
      <c r="E22" s="87"/>
      <c r="F22" s="78" t="s">
        <v>55</v>
      </c>
      <c r="G22" s="88"/>
      <c r="H22" s="88"/>
      <c r="I22" s="88"/>
      <c r="J22" s="88"/>
      <c r="K22" s="88"/>
      <c r="L22" s="88"/>
      <c r="M22" s="88">
        <f t="shared" si="58"/>
        <v>0</v>
      </c>
      <c r="N22" s="88">
        <v>0.0</v>
      </c>
      <c r="O22" s="88">
        <v>0.0</v>
      </c>
      <c r="P22" s="88"/>
      <c r="Q22" s="88"/>
      <c r="R22" s="88"/>
      <c r="S22" s="88">
        <f t="shared" si="59"/>
        <v>0</v>
      </c>
      <c r="T22" s="88">
        <v>0.0</v>
      </c>
      <c r="U22" s="88">
        <v>0.0</v>
      </c>
      <c r="V22" s="88"/>
      <c r="W22" s="88"/>
      <c r="X22" s="88"/>
      <c r="Y22" s="88">
        <f t="shared" si="60"/>
        <v>0</v>
      </c>
      <c r="Z22" s="88">
        <v>0.0</v>
      </c>
      <c r="AA22" s="88">
        <v>0.0</v>
      </c>
      <c r="AB22" s="88"/>
      <c r="AC22" s="88"/>
      <c r="AD22" s="88"/>
      <c r="AE22" s="88">
        <f t="shared" ref="AE22:AG22" si="65">M22+S22+Y22</f>
        <v>0</v>
      </c>
      <c r="AF22" s="88">
        <f t="shared" si="65"/>
        <v>0</v>
      </c>
      <c r="AG22" s="88">
        <f t="shared" si="65"/>
        <v>0</v>
      </c>
      <c r="AH22" s="88"/>
      <c r="AI22" s="88"/>
      <c r="AJ22" s="88"/>
      <c r="AK22" s="88">
        <f t="shared" si="62"/>
        <v>0</v>
      </c>
      <c r="AL22" s="88">
        <v>0.0</v>
      </c>
      <c r="AM22" s="88">
        <v>0.0</v>
      </c>
      <c r="AN22" s="88"/>
      <c r="AO22" s="88"/>
      <c r="AP22" s="88"/>
      <c r="AQ22" s="88">
        <f t="shared" ref="AQ22:AS22" si="66">AE22+AK22</f>
        <v>0</v>
      </c>
      <c r="AR22" s="88">
        <f t="shared" si="66"/>
        <v>0</v>
      </c>
      <c r="AS22" s="88">
        <f t="shared" si="66"/>
        <v>0</v>
      </c>
      <c r="AT22" s="88"/>
      <c r="AU22" s="88"/>
      <c r="AV22" s="88"/>
      <c r="AW22" s="79">
        <f t="shared" si="67"/>
        <v>7944.16715</v>
      </c>
      <c r="AX22" s="88">
        <v>0.0</v>
      </c>
      <c r="AY22" s="88">
        <v>7944.16715</v>
      </c>
      <c r="AZ22" s="88"/>
      <c r="BA22" s="88"/>
      <c r="BB22" s="88"/>
      <c r="BC22" s="79">
        <f t="shared" ref="BC22:BE22" si="68">AQ22+AW22</f>
        <v>7944.16715</v>
      </c>
      <c r="BD22" s="88">
        <f t="shared" si="68"/>
        <v>0</v>
      </c>
      <c r="BE22" s="88">
        <f t="shared" si="68"/>
        <v>7944.16715</v>
      </c>
      <c r="BF22" s="88"/>
      <c r="BG22" s="88"/>
      <c r="BH22" s="88"/>
      <c r="BI22" s="88"/>
      <c r="BJ22" s="88"/>
      <c r="BK22" s="88"/>
      <c r="BL22" s="88"/>
      <c r="BM22" s="88"/>
      <c r="BN22" s="88"/>
      <c r="BO22" s="88"/>
      <c r="BP22" s="88"/>
      <c r="BQ22" s="88"/>
      <c r="BR22" s="88"/>
      <c r="BS22" s="88"/>
      <c r="BT22" s="88"/>
      <c r="BU22" s="88"/>
      <c r="BV22" s="88"/>
      <c r="BW22" s="88"/>
      <c r="BX22" s="88"/>
      <c r="BY22" s="88"/>
      <c r="BZ22" s="88"/>
      <c r="CA22" s="88"/>
      <c r="CB22" s="88"/>
      <c r="CC22" s="88"/>
      <c r="CD22" s="88"/>
      <c r="CE22" s="88"/>
      <c r="CF22" s="88"/>
      <c r="CG22" s="88"/>
      <c r="CH22" s="88"/>
      <c r="CI22" s="88"/>
      <c r="CJ22" s="88"/>
      <c r="CK22" s="88"/>
      <c r="CL22" s="88"/>
      <c r="CM22" s="88"/>
      <c r="CN22" s="88"/>
      <c r="CO22" s="88"/>
      <c r="CP22" s="88"/>
      <c r="CQ22" s="88"/>
      <c r="CR22" s="88"/>
      <c r="CS22" s="88"/>
      <c r="CT22" s="88"/>
      <c r="CU22" s="88"/>
      <c r="CV22" s="88"/>
      <c r="CW22" s="88"/>
      <c r="CX22" s="88"/>
      <c r="CY22" s="88"/>
      <c r="CZ22" s="88"/>
      <c r="DA22" s="88"/>
      <c r="DB22" s="88"/>
      <c r="DC22" s="88"/>
      <c r="DD22" s="88"/>
      <c r="DE22" s="88"/>
      <c r="DF22" s="88"/>
      <c r="DG22" s="88"/>
      <c r="DH22" s="88"/>
      <c r="DI22" s="88"/>
      <c r="DJ22" s="88"/>
      <c r="DK22" s="88"/>
      <c r="DL22" s="88"/>
      <c r="DM22" s="88"/>
      <c r="DN22" s="88"/>
      <c r="DO22" s="88"/>
      <c r="DP22" s="88"/>
      <c r="DQ22" s="88"/>
      <c r="DR22" s="88"/>
      <c r="DS22" s="88"/>
      <c r="DT22" s="88"/>
      <c r="DU22" s="89"/>
      <c r="DV22" s="89"/>
      <c r="DW22" s="90"/>
      <c r="DX22" s="90"/>
      <c r="DY22" s="90"/>
      <c r="DZ22" s="75"/>
      <c r="EA22" s="76" t="s">
        <v>56</v>
      </c>
    </row>
    <row r="23" ht="21.75" customHeight="1">
      <c r="A23" s="64"/>
      <c r="B23" s="70" t="s">
        <v>40</v>
      </c>
      <c r="C23" s="71" t="s">
        <v>57</v>
      </c>
      <c r="D23" s="71" t="s">
        <v>41</v>
      </c>
      <c r="E23" s="71" t="s">
        <v>58</v>
      </c>
      <c r="F23" s="72" t="s">
        <v>59</v>
      </c>
      <c r="G23" s="73">
        <v>5419757.0</v>
      </c>
      <c r="H23" s="73">
        <v>0.0</v>
      </c>
      <c r="I23" s="73">
        <v>5419757.0</v>
      </c>
      <c r="J23" s="73">
        <f t="shared" ref="J23:L23" si="69">J24+J26+J29</f>
        <v>0</v>
      </c>
      <c r="K23" s="73">
        <f t="shared" si="69"/>
        <v>0</v>
      </c>
      <c r="L23" s="73">
        <f t="shared" si="69"/>
        <v>0</v>
      </c>
      <c r="M23" s="73">
        <f t="shared" ref="M23:O23" si="70">M24+M26+M29+M32+M33</f>
        <v>13617.568</v>
      </c>
      <c r="N23" s="73">
        <f t="shared" si="70"/>
        <v>0</v>
      </c>
      <c r="O23" s="73">
        <f t="shared" si="70"/>
        <v>13617.568</v>
      </c>
      <c r="P23" s="73">
        <f t="shared" ref="P23:R23" si="71">P24+P26+P29</f>
        <v>0</v>
      </c>
      <c r="Q23" s="73">
        <f t="shared" si="71"/>
        <v>0</v>
      </c>
      <c r="R23" s="73">
        <f t="shared" si="71"/>
        <v>0</v>
      </c>
      <c r="S23" s="73">
        <f t="shared" ref="S23:U23" si="72">S24+S26+S29+S32+S33</f>
        <v>13235.26019</v>
      </c>
      <c r="T23" s="73">
        <f t="shared" si="72"/>
        <v>0</v>
      </c>
      <c r="U23" s="73">
        <f t="shared" si="72"/>
        <v>13235.26019</v>
      </c>
      <c r="V23" s="73">
        <v>6888.0</v>
      </c>
      <c r="W23" s="73">
        <f>W24+W26+W29</f>
        <v>0</v>
      </c>
      <c r="X23" s="73">
        <v>6888.0</v>
      </c>
      <c r="Y23" s="73">
        <f t="shared" ref="Y23:AA23" si="73">Y24+Y26+Y29+Y32+Y33</f>
        <v>911674.5574</v>
      </c>
      <c r="Z23" s="73">
        <f t="shared" si="73"/>
        <v>0</v>
      </c>
      <c r="AA23" s="73">
        <f t="shared" si="73"/>
        <v>911674.5574</v>
      </c>
      <c r="AB23" s="73">
        <f t="shared" ref="AB23:AG23" si="74">J23+P23+V23</f>
        <v>6888</v>
      </c>
      <c r="AC23" s="73">
        <f t="shared" si="74"/>
        <v>0</v>
      </c>
      <c r="AD23" s="73">
        <f t="shared" si="74"/>
        <v>6888</v>
      </c>
      <c r="AE23" s="73">
        <f t="shared" si="74"/>
        <v>938527.3856</v>
      </c>
      <c r="AF23" s="73">
        <f t="shared" si="74"/>
        <v>0</v>
      </c>
      <c r="AG23" s="73">
        <f t="shared" si="74"/>
        <v>938527.3856</v>
      </c>
      <c r="AH23" s="73">
        <v>23349.0</v>
      </c>
      <c r="AI23" s="73">
        <v>0.0</v>
      </c>
      <c r="AJ23" s="73">
        <v>23349.0</v>
      </c>
      <c r="AK23" s="73">
        <f t="shared" ref="AK23:AM23" si="75">AK24+AK26+AK29+AK32+AK33</f>
        <v>82485.0231</v>
      </c>
      <c r="AL23" s="73">
        <f t="shared" si="75"/>
        <v>0</v>
      </c>
      <c r="AM23" s="73">
        <f t="shared" si="75"/>
        <v>82485.0231</v>
      </c>
      <c r="AN23" s="73">
        <f t="shared" ref="AN23:AS23" si="76">AB23+AH23</f>
        <v>30237</v>
      </c>
      <c r="AO23" s="73">
        <f t="shared" si="76"/>
        <v>0</v>
      </c>
      <c r="AP23" s="73">
        <f t="shared" si="76"/>
        <v>30237</v>
      </c>
      <c r="AQ23" s="73">
        <f t="shared" si="76"/>
        <v>1021012.409</v>
      </c>
      <c r="AR23" s="73">
        <f t="shared" si="76"/>
        <v>0</v>
      </c>
      <c r="AS23" s="73">
        <f t="shared" si="76"/>
        <v>1021012.409</v>
      </c>
      <c r="AT23" s="73">
        <v>35023.0</v>
      </c>
      <c r="AU23" s="73">
        <v>0.0</v>
      </c>
      <c r="AV23" s="73">
        <v>35023.0</v>
      </c>
      <c r="AW23" s="73">
        <f t="shared" ref="AW23:AY23" si="77">AW24+AW26+AW29+AW32+AW33</f>
        <v>63187.85564</v>
      </c>
      <c r="AX23" s="73">
        <f t="shared" si="77"/>
        <v>0</v>
      </c>
      <c r="AY23" s="73">
        <f t="shared" si="77"/>
        <v>63187.85564</v>
      </c>
      <c r="AZ23" s="73">
        <f t="shared" ref="AZ23:BE23" si="78">AN23+AT23</f>
        <v>65260</v>
      </c>
      <c r="BA23" s="73">
        <f t="shared" si="78"/>
        <v>0</v>
      </c>
      <c r="BB23" s="73">
        <f t="shared" si="78"/>
        <v>65260</v>
      </c>
      <c r="BC23" s="73">
        <f t="shared" si="78"/>
        <v>1084200.264</v>
      </c>
      <c r="BD23" s="73">
        <f t="shared" si="78"/>
        <v>0</v>
      </c>
      <c r="BE23" s="73">
        <f t="shared" si="78"/>
        <v>1084200.264</v>
      </c>
      <c r="BF23" s="73" t="str">
        <f t="shared" ref="BF23:DY23" si="79">BF31+#REF!+BF32+BF33</f>
        <v>#REF!</v>
      </c>
      <c r="BG23" s="73" t="str">
        <f t="shared" si="79"/>
        <v>#REF!</v>
      </c>
      <c r="BH23" s="73" t="str">
        <f t="shared" si="79"/>
        <v>#REF!</v>
      </c>
      <c r="BI23" s="73" t="str">
        <f t="shared" si="79"/>
        <v>#REF!</v>
      </c>
      <c r="BJ23" s="73" t="str">
        <f t="shared" si="79"/>
        <v>#REF!</v>
      </c>
      <c r="BK23" s="73" t="str">
        <f t="shared" si="79"/>
        <v>#REF!</v>
      </c>
      <c r="BL23" s="73" t="str">
        <f t="shared" si="79"/>
        <v>#REF!</v>
      </c>
      <c r="BM23" s="73" t="str">
        <f t="shared" si="79"/>
        <v>#REF!</v>
      </c>
      <c r="BN23" s="73" t="str">
        <f t="shared" si="79"/>
        <v>#REF!</v>
      </c>
      <c r="BO23" s="73" t="str">
        <f t="shared" si="79"/>
        <v>#REF!</v>
      </c>
      <c r="BP23" s="73" t="str">
        <f t="shared" si="79"/>
        <v>#REF!</v>
      </c>
      <c r="BQ23" s="73" t="str">
        <f t="shared" si="79"/>
        <v>#REF!</v>
      </c>
      <c r="BR23" s="73" t="str">
        <f t="shared" si="79"/>
        <v>#REF!</v>
      </c>
      <c r="BS23" s="73" t="str">
        <f t="shared" si="79"/>
        <v>#REF!</v>
      </c>
      <c r="BT23" s="73" t="str">
        <f t="shared" si="79"/>
        <v>#REF!</v>
      </c>
      <c r="BU23" s="73" t="str">
        <f t="shared" si="79"/>
        <v>#REF!</v>
      </c>
      <c r="BV23" s="73" t="str">
        <f t="shared" si="79"/>
        <v>#REF!</v>
      </c>
      <c r="BW23" s="73" t="str">
        <f t="shared" si="79"/>
        <v>#REF!</v>
      </c>
      <c r="BX23" s="73" t="str">
        <f t="shared" si="79"/>
        <v>#REF!</v>
      </c>
      <c r="BY23" s="73" t="str">
        <f t="shared" si="79"/>
        <v>#REF!</v>
      </c>
      <c r="BZ23" s="73" t="str">
        <f t="shared" si="79"/>
        <v>#REF!</v>
      </c>
      <c r="CA23" s="73" t="str">
        <f t="shared" si="79"/>
        <v>#REF!</v>
      </c>
      <c r="CB23" s="73" t="str">
        <f t="shared" si="79"/>
        <v>#REF!</v>
      </c>
      <c r="CC23" s="73" t="str">
        <f t="shared" si="79"/>
        <v>#REF!</v>
      </c>
      <c r="CD23" s="73" t="str">
        <f t="shared" si="79"/>
        <v>#REF!</v>
      </c>
      <c r="CE23" s="73" t="str">
        <f t="shared" si="79"/>
        <v>#REF!</v>
      </c>
      <c r="CF23" s="73" t="str">
        <f t="shared" si="79"/>
        <v>#REF!</v>
      </c>
      <c r="CG23" s="73" t="str">
        <f t="shared" si="79"/>
        <v>#REF!</v>
      </c>
      <c r="CH23" s="73" t="str">
        <f t="shared" si="79"/>
        <v>#REF!</v>
      </c>
      <c r="CI23" s="73" t="str">
        <f t="shared" si="79"/>
        <v>#REF!</v>
      </c>
      <c r="CJ23" s="73" t="str">
        <f t="shared" si="79"/>
        <v>#REF!</v>
      </c>
      <c r="CK23" s="73" t="str">
        <f t="shared" si="79"/>
        <v>#REF!</v>
      </c>
      <c r="CL23" s="73" t="str">
        <f t="shared" si="79"/>
        <v>#REF!</v>
      </c>
      <c r="CM23" s="73" t="str">
        <f t="shared" si="79"/>
        <v>#REF!</v>
      </c>
      <c r="CN23" s="73" t="str">
        <f t="shared" si="79"/>
        <v>#REF!</v>
      </c>
      <c r="CO23" s="73" t="str">
        <f t="shared" si="79"/>
        <v>#REF!</v>
      </c>
      <c r="CP23" s="73" t="str">
        <f t="shared" si="79"/>
        <v>#REF!</v>
      </c>
      <c r="CQ23" s="73" t="str">
        <f t="shared" si="79"/>
        <v>#REF!</v>
      </c>
      <c r="CR23" s="73" t="str">
        <f t="shared" si="79"/>
        <v>#REF!</v>
      </c>
      <c r="CS23" s="73" t="str">
        <f t="shared" si="79"/>
        <v>#REF!</v>
      </c>
      <c r="CT23" s="73" t="str">
        <f t="shared" si="79"/>
        <v>#REF!</v>
      </c>
      <c r="CU23" s="73" t="str">
        <f t="shared" si="79"/>
        <v>#REF!</v>
      </c>
      <c r="CV23" s="73" t="str">
        <f t="shared" si="79"/>
        <v>#REF!</v>
      </c>
      <c r="CW23" s="73" t="str">
        <f t="shared" si="79"/>
        <v>#REF!</v>
      </c>
      <c r="CX23" s="73" t="str">
        <f t="shared" si="79"/>
        <v>#REF!</v>
      </c>
      <c r="CY23" s="73" t="str">
        <f t="shared" si="79"/>
        <v>#REF!</v>
      </c>
      <c r="CZ23" s="73" t="str">
        <f t="shared" si="79"/>
        <v>#REF!</v>
      </c>
      <c r="DA23" s="73" t="str">
        <f t="shared" si="79"/>
        <v>#REF!</v>
      </c>
      <c r="DB23" s="73" t="str">
        <f t="shared" si="79"/>
        <v>#REF!</v>
      </c>
      <c r="DC23" s="73" t="str">
        <f t="shared" si="79"/>
        <v>#REF!</v>
      </c>
      <c r="DD23" s="73" t="str">
        <f t="shared" si="79"/>
        <v>#REF!</v>
      </c>
      <c r="DE23" s="73" t="str">
        <f t="shared" si="79"/>
        <v>#REF!</v>
      </c>
      <c r="DF23" s="73" t="str">
        <f t="shared" si="79"/>
        <v>#REF!</v>
      </c>
      <c r="DG23" s="73" t="str">
        <f t="shared" si="79"/>
        <v>#REF!</v>
      </c>
      <c r="DH23" s="73" t="str">
        <f t="shared" si="79"/>
        <v>#REF!</v>
      </c>
      <c r="DI23" s="73" t="str">
        <f t="shared" si="79"/>
        <v>#REF!</v>
      </c>
      <c r="DJ23" s="73" t="str">
        <f t="shared" si="79"/>
        <v>#REF!</v>
      </c>
      <c r="DK23" s="73" t="str">
        <f t="shared" si="79"/>
        <v>#REF!</v>
      </c>
      <c r="DL23" s="73" t="str">
        <f t="shared" si="79"/>
        <v>#REF!</v>
      </c>
      <c r="DM23" s="73" t="str">
        <f t="shared" si="79"/>
        <v>#REF!</v>
      </c>
      <c r="DN23" s="73" t="str">
        <f t="shared" si="79"/>
        <v>#REF!</v>
      </c>
      <c r="DO23" s="73" t="str">
        <f t="shared" si="79"/>
        <v>#REF!</v>
      </c>
      <c r="DP23" s="73" t="str">
        <f t="shared" si="79"/>
        <v>#REF!</v>
      </c>
      <c r="DQ23" s="73" t="str">
        <f t="shared" si="79"/>
        <v>#REF!</v>
      </c>
      <c r="DR23" s="73" t="str">
        <f t="shared" si="79"/>
        <v>#REF!</v>
      </c>
      <c r="DS23" s="73" t="str">
        <f t="shared" si="79"/>
        <v>#REF!</v>
      </c>
      <c r="DT23" s="73" t="str">
        <f t="shared" si="79"/>
        <v>#REF!</v>
      </c>
      <c r="DU23" s="74" t="str">
        <f t="shared" si="79"/>
        <v>#REF!</v>
      </c>
      <c r="DV23" s="74" t="str">
        <f t="shared" si="79"/>
        <v>#REF!</v>
      </c>
      <c r="DW23" s="74" t="str">
        <f t="shared" si="79"/>
        <v>#REF!</v>
      </c>
      <c r="DX23" s="74" t="str">
        <f t="shared" si="79"/>
        <v>#REF!</v>
      </c>
      <c r="DY23" s="74" t="str">
        <f t="shared" si="79"/>
        <v>#REF!</v>
      </c>
      <c r="DZ23" s="74"/>
      <c r="EA23" s="76"/>
    </row>
    <row r="24" ht="21.75" customHeight="1">
      <c r="A24" s="64"/>
      <c r="B24" s="70"/>
      <c r="C24" s="71"/>
      <c r="D24" s="71"/>
      <c r="E24" s="71"/>
      <c r="F24" s="78" t="s">
        <v>46</v>
      </c>
      <c r="G24" s="73"/>
      <c r="H24" s="73"/>
      <c r="I24" s="73"/>
      <c r="J24" s="73"/>
      <c r="K24" s="73"/>
      <c r="L24" s="73"/>
      <c r="M24" s="79">
        <f t="shared" ref="M24:O24" si="80">M25</f>
        <v>0</v>
      </c>
      <c r="N24" s="79">
        <f t="shared" si="80"/>
        <v>0</v>
      </c>
      <c r="O24" s="79">
        <f t="shared" si="80"/>
        <v>0</v>
      </c>
      <c r="P24" s="73"/>
      <c r="Q24" s="73"/>
      <c r="R24" s="73"/>
      <c r="S24" s="79">
        <f t="shared" ref="S24:U24" si="81">S25</f>
        <v>0</v>
      </c>
      <c r="T24" s="79">
        <f t="shared" si="81"/>
        <v>0</v>
      </c>
      <c r="U24" s="79">
        <f t="shared" si="81"/>
        <v>0</v>
      </c>
      <c r="V24" s="73"/>
      <c r="W24" s="73"/>
      <c r="X24" s="73"/>
      <c r="Y24" s="79">
        <f t="shared" ref="Y24:AA24" si="82">Y25</f>
        <v>0</v>
      </c>
      <c r="Z24" s="79">
        <f t="shared" si="82"/>
        <v>0</v>
      </c>
      <c r="AA24" s="79">
        <f t="shared" si="82"/>
        <v>0</v>
      </c>
      <c r="AB24" s="73"/>
      <c r="AC24" s="73"/>
      <c r="AD24" s="73"/>
      <c r="AE24" s="79">
        <f t="shared" ref="AE24:AG24" si="83">M24+S24+Y24</f>
        <v>0</v>
      </c>
      <c r="AF24" s="79">
        <f t="shared" si="83"/>
        <v>0</v>
      </c>
      <c r="AG24" s="79">
        <f t="shared" si="83"/>
        <v>0</v>
      </c>
      <c r="AH24" s="73"/>
      <c r="AI24" s="73"/>
      <c r="AJ24" s="73"/>
      <c r="AK24" s="79">
        <f t="shared" ref="AK24:AM24" si="84">AK25</f>
        <v>0</v>
      </c>
      <c r="AL24" s="79">
        <f t="shared" si="84"/>
        <v>0</v>
      </c>
      <c r="AM24" s="79">
        <f t="shared" si="84"/>
        <v>0</v>
      </c>
      <c r="AN24" s="79"/>
      <c r="AO24" s="79"/>
      <c r="AP24" s="79"/>
      <c r="AQ24" s="79">
        <f t="shared" ref="AQ24:AS24" si="85">AE24+AK24</f>
        <v>0</v>
      </c>
      <c r="AR24" s="79">
        <f t="shared" si="85"/>
        <v>0</v>
      </c>
      <c r="AS24" s="79">
        <f t="shared" si="85"/>
        <v>0</v>
      </c>
      <c r="AT24" s="73"/>
      <c r="AU24" s="73"/>
      <c r="AV24" s="73"/>
      <c r="AW24" s="79">
        <v>0.0</v>
      </c>
      <c r="AX24" s="79">
        <v>0.0</v>
      </c>
      <c r="AY24" s="79">
        <v>0.0</v>
      </c>
      <c r="AZ24" s="73"/>
      <c r="BA24" s="73"/>
      <c r="BB24" s="73"/>
      <c r="BC24" s="79">
        <f t="shared" ref="BC24:BE24" si="86">AQ24+AW24</f>
        <v>0</v>
      </c>
      <c r="BD24" s="79">
        <f t="shared" si="86"/>
        <v>0</v>
      </c>
      <c r="BE24" s="79">
        <f t="shared" si="86"/>
        <v>0</v>
      </c>
      <c r="BF24" s="73"/>
      <c r="BG24" s="73"/>
      <c r="BH24" s="73"/>
      <c r="BI24" s="73"/>
      <c r="BJ24" s="73"/>
      <c r="BK24" s="73"/>
      <c r="BL24" s="73"/>
      <c r="BM24" s="73"/>
      <c r="BN24" s="73"/>
      <c r="BO24" s="73"/>
      <c r="BP24" s="73"/>
      <c r="BQ24" s="73"/>
      <c r="BR24" s="73"/>
      <c r="BS24" s="73"/>
      <c r="BT24" s="73"/>
      <c r="BU24" s="73"/>
      <c r="BV24" s="73"/>
      <c r="BW24" s="73"/>
      <c r="BX24" s="73"/>
      <c r="BY24" s="73"/>
      <c r="BZ24" s="73"/>
      <c r="CA24" s="73"/>
      <c r="CB24" s="73"/>
      <c r="CC24" s="73"/>
      <c r="CD24" s="73"/>
      <c r="CE24" s="73"/>
      <c r="CF24" s="73"/>
      <c r="CG24" s="73"/>
      <c r="CH24" s="73"/>
      <c r="CI24" s="73"/>
      <c r="CJ24" s="73"/>
      <c r="CK24" s="73"/>
      <c r="CL24" s="73"/>
      <c r="CM24" s="73"/>
      <c r="CN24" s="73"/>
      <c r="CO24" s="73"/>
      <c r="CP24" s="73"/>
      <c r="CQ24" s="73"/>
      <c r="CR24" s="73"/>
      <c r="CS24" s="73"/>
      <c r="CT24" s="73"/>
      <c r="CU24" s="73"/>
      <c r="CV24" s="73"/>
      <c r="CW24" s="73"/>
      <c r="CX24" s="73"/>
      <c r="CY24" s="73"/>
      <c r="CZ24" s="73"/>
      <c r="DA24" s="73"/>
      <c r="DB24" s="73"/>
      <c r="DC24" s="73"/>
      <c r="DD24" s="73"/>
      <c r="DE24" s="73"/>
      <c r="DF24" s="73"/>
      <c r="DG24" s="73"/>
      <c r="DH24" s="73"/>
      <c r="DI24" s="73"/>
      <c r="DJ24" s="73"/>
      <c r="DK24" s="73"/>
      <c r="DL24" s="73"/>
      <c r="DM24" s="73"/>
      <c r="DN24" s="73"/>
      <c r="DO24" s="73"/>
      <c r="DP24" s="73"/>
      <c r="DQ24" s="73"/>
      <c r="DR24" s="73"/>
      <c r="DS24" s="73"/>
      <c r="DT24" s="73"/>
      <c r="DU24" s="74"/>
      <c r="DV24" s="74"/>
      <c r="DW24" s="74"/>
      <c r="DX24" s="74"/>
      <c r="DY24" s="74"/>
      <c r="DZ24" s="74"/>
      <c r="EA24" s="76"/>
    </row>
    <row r="25" ht="21.75" customHeight="1">
      <c r="A25" s="64"/>
      <c r="B25" s="70"/>
      <c r="C25" s="71"/>
      <c r="D25" s="71"/>
      <c r="E25" s="71"/>
      <c r="F25" s="81" t="s">
        <v>47</v>
      </c>
      <c r="G25" s="73"/>
      <c r="H25" s="73"/>
      <c r="I25" s="73"/>
      <c r="J25" s="73"/>
      <c r="K25" s="73"/>
      <c r="L25" s="73"/>
      <c r="M25" s="73">
        <v>0.0</v>
      </c>
      <c r="N25" s="73">
        <v>0.0</v>
      </c>
      <c r="O25" s="73">
        <v>0.0</v>
      </c>
      <c r="P25" s="73"/>
      <c r="Q25" s="73"/>
      <c r="R25" s="73"/>
      <c r="S25" s="73">
        <v>0.0</v>
      </c>
      <c r="T25" s="73">
        <v>0.0</v>
      </c>
      <c r="U25" s="73">
        <v>0.0</v>
      </c>
      <c r="V25" s="73"/>
      <c r="W25" s="73"/>
      <c r="X25" s="73"/>
      <c r="Y25" s="73">
        <v>0.0</v>
      </c>
      <c r="Z25" s="73">
        <v>0.0</v>
      </c>
      <c r="AA25" s="73">
        <v>0.0</v>
      </c>
      <c r="AB25" s="73"/>
      <c r="AC25" s="73"/>
      <c r="AD25" s="73"/>
      <c r="AE25" s="73">
        <f t="shared" ref="AE25:AG25" si="87">M25+S25+Y25</f>
        <v>0</v>
      </c>
      <c r="AF25" s="73">
        <f t="shared" si="87"/>
        <v>0</v>
      </c>
      <c r="AG25" s="73">
        <f t="shared" si="87"/>
        <v>0</v>
      </c>
      <c r="AH25" s="73"/>
      <c r="AI25" s="73"/>
      <c r="AJ25" s="73"/>
      <c r="AK25" s="73">
        <v>0.0</v>
      </c>
      <c r="AL25" s="73">
        <v>0.0</v>
      </c>
      <c r="AM25" s="73">
        <v>0.0</v>
      </c>
      <c r="AN25" s="73"/>
      <c r="AO25" s="73"/>
      <c r="AP25" s="73"/>
      <c r="AQ25" s="73">
        <f t="shared" ref="AQ25:AS25" si="88">AE25+AK25</f>
        <v>0</v>
      </c>
      <c r="AR25" s="73">
        <f t="shared" si="88"/>
        <v>0</v>
      </c>
      <c r="AS25" s="73">
        <f t="shared" si="88"/>
        <v>0</v>
      </c>
      <c r="AT25" s="73"/>
      <c r="AU25" s="73"/>
      <c r="AV25" s="73"/>
      <c r="AW25" s="73">
        <v>0.0</v>
      </c>
      <c r="AX25" s="73">
        <v>0.0</v>
      </c>
      <c r="AY25" s="73">
        <v>0.0</v>
      </c>
      <c r="AZ25" s="73"/>
      <c r="BA25" s="73"/>
      <c r="BB25" s="73"/>
      <c r="BC25" s="73">
        <f t="shared" ref="BC25:BE25" si="89">AQ25+AW25</f>
        <v>0</v>
      </c>
      <c r="BD25" s="73">
        <f t="shared" si="89"/>
        <v>0</v>
      </c>
      <c r="BE25" s="73">
        <f t="shared" si="89"/>
        <v>0</v>
      </c>
      <c r="BF25" s="73"/>
      <c r="BG25" s="73"/>
      <c r="BH25" s="73"/>
      <c r="BI25" s="73"/>
      <c r="BJ25" s="73"/>
      <c r="BK25" s="73"/>
      <c r="BL25" s="73"/>
      <c r="BM25" s="73"/>
      <c r="BN25" s="73"/>
      <c r="BO25" s="73"/>
      <c r="BP25" s="73"/>
      <c r="BQ25" s="73"/>
      <c r="BR25" s="73"/>
      <c r="BS25" s="73"/>
      <c r="BT25" s="73"/>
      <c r="BU25" s="73"/>
      <c r="BV25" s="73"/>
      <c r="BW25" s="73"/>
      <c r="BX25" s="73"/>
      <c r="BY25" s="73"/>
      <c r="BZ25" s="73"/>
      <c r="CA25" s="73"/>
      <c r="CB25" s="73"/>
      <c r="CC25" s="73"/>
      <c r="CD25" s="73"/>
      <c r="CE25" s="73"/>
      <c r="CF25" s="73"/>
      <c r="CG25" s="73"/>
      <c r="CH25" s="73"/>
      <c r="CI25" s="73"/>
      <c r="CJ25" s="73"/>
      <c r="CK25" s="73"/>
      <c r="CL25" s="73"/>
      <c r="CM25" s="73"/>
      <c r="CN25" s="73"/>
      <c r="CO25" s="73"/>
      <c r="CP25" s="73"/>
      <c r="CQ25" s="73"/>
      <c r="CR25" s="73"/>
      <c r="CS25" s="73"/>
      <c r="CT25" s="73"/>
      <c r="CU25" s="73"/>
      <c r="CV25" s="73"/>
      <c r="CW25" s="73"/>
      <c r="CX25" s="73"/>
      <c r="CY25" s="73"/>
      <c r="CZ25" s="73"/>
      <c r="DA25" s="73"/>
      <c r="DB25" s="73"/>
      <c r="DC25" s="73"/>
      <c r="DD25" s="73"/>
      <c r="DE25" s="73"/>
      <c r="DF25" s="73"/>
      <c r="DG25" s="73"/>
      <c r="DH25" s="73"/>
      <c r="DI25" s="73"/>
      <c r="DJ25" s="73"/>
      <c r="DK25" s="73"/>
      <c r="DL25" s="73"/>
      <c r="DM25" s="73"/>
      <c r="DN25" s="73"/>
      <c r="DO25" s="73"/>
      <c r="DP25" s="73"/>
      <c r="DQ25" s="73"/>
      <c r="DR25" s="73"/>
      <c r="DS25" s="73"/>
      <c r="DT25" s="73"/>
      <c r="DU25" s="74"/>
      <c r="DV25" s="74"/>
      <c r="DW25" s="74"/>
      <c r="DX25" s="74"/>
      <c r="DY25" s="74"/>
      <c r="DZ25" s="74"/>
      <c r="EA25" s="76"/>
    </row>
    <row r="26" ht="21.75" customHeight="1">
      <c r="A26" s="64"/>
      <c r="B26" s="70"/>
      <c r="C26" s="71"/>
      <c r="D26" s="71"/>
      <c r="E26" s="71"/>
      <c r="F26" s="78" t="s">
        <v>48</v>
      </c>
      <c r="G26" s="73"/>
      <c r="H26" s="73"/>
      <c r="I26" s="73"/>
      <c r="J26" s="73"/>
      <c r="K26" s="73"/>
      <c r="L26" s="73"/>
      <c r="M26" s="79">
        <f t="shared" ref="M26:O26" si="90">M27+M28</f>
        <v>13617.568</v>
      </c>
      <c r="N26" s="79">
        <f t="shared" si="90"/>
        <v>0</v>
      </c>
      <c r="O26" s="79">
        <f t="shared" si="90"/>
        <v>13617.568</v>
      </c>
      <c r="P26" s="73"/>
      <c r="Q26" s="73"/>
      <c r="R26" s="73"/>
      <c r="S26" s="79">
        <f t="shared" ref="S26:U26" si="91">S27+S28</f>
        <v>13235.26019</v>
      </c>
      <c r="T26" s="79">
        <f t="shared" si="91"/>
        <v>0</v>
      </c>
      <c r="U26" s="79">
        <f t="shared" si="91"/>
        <v>13235.26019</v>
      </c>
      <c r="V26" s="73"/>
      <c r="W26" s="73"/>
      <c r="X26" s="73"/>
      <c r="Y26" s="79">
        <f t="shared" ref="Y26:AA26" si="92">Y27+Y28</f>
        <v>12188.71044</v>
      </c>
      <c r="Z26" s="79">
        <f t="shared" si="92"/>
        <v>0</v>
      </c>
      <c r="AA26" s="79">
        <f t="shared" si="92"/>
        <v>12188.71044</v>
      </c>
      <c r="AB26" s="73"/>
      <c r="AC26" s="73"/>
      <c r="AD26" s="73"/>
      <c r="AE26" s="79">
        <f t="shared" ref="AE26:AG26" si="93">M26+S26+Y26</f>
        <v>39041.53863</v>
      </c>
      <c r="AF26" s="79">
        <f t="shared" si="93"/>
        <v>0</v>
      </c>
      <c r="AG26" s="79">
        <f t="shared" si="93"/>
        <v>39041.53863</v>
      </c>
      <c r="AH26" s="73"/>
      <c r="AI26" s="73"/>
      <c r="AJ26" s="73"/>
      <c r="AK26" s="79">
        <f t="shared" ref="AK26:AM26" si="94">AK27+AK28</f>
        <v>44977.45874</v>
      </c>
      <c r="AL26" s="79">
        <f t="shared" si="94"/>
        <v>0</v>
      </c>
      <c r="AM26" s="79">
        <f t="shared" si="94"/>
        <v>44977.45874</v>
      </c>
      <c r="AN26" s="79"/>
      <c r="AO26" s="79"/>
      <c r="AP26" s="79"/>
      <c r="AQ26" s="79">
        <f t="shared" ref="AQ26:AS26" si="95">AE26+AK26</f>
        <v>84018.99737</v>
      </c>
      <c r="AR26" s="79">
        <f t="shared" si="95"/>
        <v>0</v>
      </c>
      <c r="AS26" s="79">
        <f t="shared" si="95"/>
        <v>84018.99737</v>
      </c>
      <c r="AT26" s="73"/>
      <c r="AU26" s="73"/>
      <c r="AV26" s="73"/>
      <c r="AW26" s="79">
        <f t="shared" ref="AW26:AY26" si="96">AW27+AW28</f>
        <v>35778.09561</v>
      </c>
      <c r="AX26" s="79">
        <f t="shared" si="96"/>
        <v>0</v>
      </c>
      <c r="AY26" s="79">
        <f t="shared" si="96"/>
        <v>35778.09561</v>
      </c>
      <c r="AZ26" s="73"/>
      <c r="BA26" s="73"/>
      <c r="BB26" s="73"/>
      <c r="BC26" s="79">
        <f t="shared" ref="BC26:BE26" si="97">AQ26+AW26</f>
        <v>119797.093</v>
      </c>
      <c r="BD26" s="79">
        <f t="shared" si="97"/>
        <v>0</v>
      </c>
      <c r="BE26" s="79">
        <f t="shared" si="97"/>
        <v>119797.093</v>
      </c>
      <c r="BF26" s="73"/>
      <c r="BG26" s="73"/>
      <c r="BH26" s="73"/>
      <c r="BI26" s="73"/>
      <c r="BJ26" s="73"/>
      <c r="BK26" s="73"/>
      <c r="BL26" s="73"/>
      <c r="BM26" s="73"/>
      <c r="BN26" s="73"/>
      <c r="BO26" s="73"/>
      <c r="BP26" s="73"/>
      <c r="BQ26" s="73"/>
      <c r="BR26" s="73"/>
      <c r="BS26" s="73"/>
      <c r="BT26" s="73"/>
      <c r="BU26" s="73"/>
      <c r="BV26" s="73"/>
      <c r="BW26" s="73"/>
      <c r="BX26" s="73"/>
      <c r="BY26" s="73"/>
      <c r="BZ26" s="73"/>
      <c r="CA26" s="73"/>
      <c r="CB26" s="73"/>
      <c r="CC26" s="73"/>
      <c r="CD26" s="73"/>
      <c r="CE26" s="73"/>
      <c r="CF26" s="73"/>
      <c r="CG26" s="73"/>
      <c r="CH26" s="73"/>
      <c r="CI26" s="73"/>
      <c r="CJ26" s="73"/>
      <c r="CK26" s="73"/>
      <c r="CL26" s="73"/>
      <c r="CM26" s="73"/>
      <c r="CN26" s="73"/>
      <c r="CO26" s="73"/>
      <c r="CP26" s="73"/>
      <c r="CQ26" s="73"/>
      <c r="CR26" s="73"/>
      <c r="CS26" s="73"/>
      <c r="CT26" s="73"/>
      <c r="CU26" s="73"/>
      <c r="CV26" s="73"/>
      <c r="CW26" s="73"/>
      <c r="CX26" s="73"/>
      <c r="CY26" s="73"/>
      <c r="CZ26" s="73"/>
      <c r="DA26" s="73"/>
      <c r="DB26" s="73"/>
      <c r="DC26" s="73"/>
      <c r="DD26" s="73"/>
      <c r="DE26" s="73"/>
      <c r="DF26" s="73"/>
      <c r="DG26" s="73"/>
      <c r="DH26" s="73"/>
      <c r="DI26" s="73"/>
      <c r="DJ26" s="73"/>
      <c r="DK26" s="73"/>
      <c r="DL26" s="73"/>
      <c r="DM26" s="73"/>
      <c r="DN26" s="73"/>
      <c r="DO26" s="73"/>
      <c r="DP26" s="73"/>
      <c r="DQ26" s="73"/>
      <c r="DR26" s="73"/>
      <c r="DS26" s="73"/>
      <c r="DT26" s="73"/>
      <c r="DU26" s="74"/>
      <c r="DV26" s="74"/>
      <c r="DW26" s="74"/>
      <c r="DX26" s="74"/>
      <c r="DY26" s="74"/>
      <c r="DZ26" s="74"/>
      <c r="EA26" s="82"/>
    </row>
    <row r="27" ht="21.75" customHeight="1">
      <c r="A27" s="64"/>
      <c r="B27" s="70"/>
      <c r="C27" s="71"/>
      <c r="D27" s="71"/>
      <c r="E27" s="71"/>
      <c r="F27" s="81" t="s">
        <v>47</v>
      </c>
      <c r="G27" s="73"/>
      <c r="H27" s="73"/>
      <c r="I27" s="73"/>
      <c r="J27" s="73"/>
      <c r="K27" s="73"/>
      <c r="L27" s="73"/>
      <c r="M27" s="73">
        <v>13617.568</v>
      </c>
      <c r="N27" s="73">
        <v>0.0</v>
      </c>
      <c r="O27" s="73">
        <v>13617.568</v>
      </c>
      <c r="P27" s="73"/>
      <c r="Q27" s="73"/>
      <c r="R27" s="73"/>
      <c r="S27" s="73">
        <f>T27+U27</f>
        <v>13235.26019</v>
      </c>
      <c r="T27" s="73">
        <v>0.0</v>
      </c>
      <c r="U27" s="73">
        <v>13235.26019</v>
      </c>
      <c r="V27" s="73"/>
      <c r="W27" s="73"/>
      <c r="X27" s="73"/>
      <c r="Y27" s="73">
        <f>Z27+AA27</f>
        <v>12188.71044</v>
      </c>
      <c r="Z27" s="73">
        <v>0.0</v>
      </c>
      <c r="AA27" s="73">
        <v>12188.71044</v>
      </c>
      <c r="AB27" s="73"/>
      <c r="AC27" s="73"/>
      <c r="AD27" s="73"/>
      <c r="AE27" s="73">
        <f t="shared" ref="AE27:AG27" si="98">M27+S27+Y27</f>
        <v>39041.53863</v>
      </c>
      <c r="AF27" s="73">
        <f t="shared" si="98"/>
        <v>0</v>
      </c>
      <c r="AG27" s="73">
        <f t="shared" si="98"/>
        <v>39041.53863</v>
      </c>
      <c r="AH27" s="73"/>
      <c r="AI27" s="73"/>
      <c r="AJ27" s="73"/>
      <c r="AK27" s="73">
        <f>AL27+AM27</f>
        <v>45353.38785</v>
      </c>
      <c r="AL27" s="73">
        <v>0.0</v>
      </c>
      <c r="AM27" s="73">
        <v>45353.38785</v>
      </c>
      <c r="AN27" s="73"/>
      <c r="AO27" s="73"/>
      <c r="AP27" s="73"/>
      <c r="AQ27" s="73">
        <f t="shared" ref="AQ27:AS27" si="99">AE27+AK27</f>
        <v>84394.92648</v>
      </c>
      <c r="AR27" s="73">
        <f t="shared" si="99"/>
        <v>0</v>
      </c>
      <c r="AS27" s="73">
        <f t="shared" si="99"/>
        <v>84394.92648</v>
      </c>
      <c r="AT27" s="73"/>
      <c r="AU27" s="73"/>
      <c r="AV27" s="73"/>
      <c r="AW27" s="73">
        <v>35778.095610000004</v>
      </c>
      <c r="AX27" s="73">
        <v>0.0</v>
      </c>
      <c r="AY27" s="73">
        <v>35778.095610000004</v>
      </c>
      <c r="AZ27" s="73"/>
      <c r="BA27" s="73"/>
      <c r="BB27" s="73"/>
      <c r="BC27" s="73">
        <f t="shared" ref="BC27:BE27" si="100">AQ27+AW27</f>
        <v>120173.0221</v>
      </c>
      <c r="BD27" s="73">
        <f t="shared" si="100"/>
        <v>0</v>
      </c>
      <c r="BE27" s="73">
        <f t="shared" si="100"/>
        <v>120173.0221</v>
      </c>
      <c r="BF27" s="73"/>
      <c r="BG27" s="73"/>
      <c r="BH27" s="73"/>
      <c r="BI27" s="73"/>
      <c r="BJ27" s="73"/>
      <c r="BK27" s="73"/>
      <c r="BL27" s="73"/>
      <c r="BM27" s="73"/>
      <c r="BN27" s="73"/>
      <c r="BO27" s="73"/>
      <c r="BP27" s="73"/>
      <c r="BQ27" s="73"/>
      <c r="BR27" s="73"/>
      <c r="BS27" s="73"/>
      <c r="BT27" s="73"/>
      <c r="BU27" s="73"/>
      <c r="BV27" s="73"/>
      <c r="BW27" s="73"/>
      <c r="BX27" s="73"/>
      <c r="BY27" s="73"/>
      <c r="BZ27" s="73"/>
      <c r="CA27" s="73"/>
      <c r="CB27" s="73"/>
      <c r="CC27" s="73"/>
      <c r="CD27" s="73"/>
      <c r="CE27" s="73"/>
      <c r="CF27" s="73"/>
      <c r="CG27" s="73"/>
      <c r="CH27" s="73"/>
      <c r="CI27" s="73"/>
      <c r="CJ27" s="73"/>
      <c r="CK27" s="73"/>
      <c r="CL27" s="73"/>
      <c r="CM27" s="73"/>
      <c r="CN27" s="73"/>
      <c r="CO27" s="73"/>
      <c r="CP27" s="73"/>
      <c r="CQ27" s="73"/>
      <c r="CR27" s="73"/>
      <c r="CS27" s="73"/>
      <c r="CT27" s="73"/>
      <c r="CU27" s="73"/>
      <c r="CV27" s="73"/>
      <c r="CW27" s="73"/>
      <c r="CX27" s="73"/>
      <c r="CY27" s="73"/>
      <c r="CZ27" s="73"/>
      <c r="DA27" s="73"/>
      <c r="DB27" s="73"/>
      <c r="DC27" s="73"/>
      <c r="DD27" s="73"/>
      <c r="DE27" s="73"/>
      <c r="DF27" s="73"/>
      <c r="DG27" s="73"/>
      <c r="DH27" s="73"/>
      <c r="DI27" s="73"/>
      <c r="DJ27" s="73"/>
      <c r="DK27" s="73"/>
      <c r="DL27" s="73"/>
      <c r="DM27" s="73"/>
      <c r="DN27" s="73"/>
      <c r="DO27" s="73"/>
      <c r="DP27" s="73"/>
      <c r="DQ27" s="73"/>
      <c r="DR27" s="73"/>
      <c r="DS27" s="73"/>
      <c r="DT27" s="73"/>
      <c r="DU27" s="74"/>
      <c r="DV27" s="74"/>
      <c r="DW27" s="74"/>
      <c r="DX27" s="74"/>
      <c r="DY27" s="74"/>
      <c r="DZ27" s="74"/>
      <c r="EA27" s="76" t="s">
        <v>60</v>
      </c>
    </row>
    <row r="28" ht="21.75" customHeight="1">
      <c r="A28" s="64"/>
      <c r="B28" s="70"/>
      <c r="C28" s="71"/>
      <c r="D28" s="71"/>
      <c r="E28" s="71"/>
      <c r="F28" s="81" t="s">
        <v>50</v>
      </c>
      <c r="G28" s="73"/>
      <c r="H28" s="73"/>
      <c r="I28" s="73"/>
      <c r="J28" s="73"/>
      <c r="K28" s="73"/>
      <c r="L28" s="73"/>
      <c r="M28" s="73">
        <v>0.0</v>
      </c>
      <c r="N28" s="73">
        <v>0.0</v>
      </c>
      <c r="O28" s="73">
        <v>0.0</v>
      </c>
      <c r="P28" s="73"/>
      <c r="Q28" s="73"/>
      <c r="R28" s="73"/>
      <c r="S28" s="73">
        <v>0.0</v>
      </c>
      <c r="T28" s="73">
        <v>0.0</v>
      </c>
      <c r="U28" s="73">
        <v>0.0</v>
      </c>
      <c r="V28" s="73"/>
      <c r="W28" s="73"/>
      <c r="X28" s="73"/>
      <c r="Y28" s="73">
        <v>0.0</v>
      </c>
      <c r="Z28" s="73">
        <v>0.0</v>
      </c>
      <c r="AA28" s="73">
        <v>0.0</v>
      </c>
      <c r="AB28" s="73"/>
      <c r="AC28" s="73"/>
      <c r="AD28" s="73"/>
      <c r="AE28" s="73">
        <f t="shared" ref="AE28:AG28" si="101">M28+S28+Y28</f>
        <v>0</v>
      </c>
      <c r="AF28" s="73">
        <f t="shared" si="101"/>
        <v>0</v>
      </c>
      <c r="AG28" s="73">
        <f t="shared" si="101"/>
        <v>0</v>
      </c>
      <c r="AH28" s="73"/>
      <c r="AI28" s="73"/>
      <c r="AJ28" s="73"/>
      <c r="AK28" s="73">
        <v>-375.92911</v>
      </c>
      <c r="AL28" s="73">
        <v>0.0</v>
      </c>
      <c r="AM28" s="73">
        <v>-375.92911</v>
      </c>
      <c r="AN28" s="73"/>
      <c r="AO28" s="73"/>
      <c r="AP28" s="73"/>
      <c r="AQ28" s="73">
        <f t="shared" ref="AQ28:AS28" si="102">AE28+AK28</f>
        <v>-375.92911</v>
      </c>
      <c r="AR28" s="73">
        <f t="shared" si="102"/>
        <v>0</v>
      </c>
      <c r="AS28" s="73">
        <f t="shared" si="102"/>
        <v>-375.92911</v>
      </c>
      <c r="AT28" s="73"/>
      <c r="AU28" s="73"/>
      <c r="AV28" s="73"/>
      <c r="AW28" s="73">
        <v>0.0</v>
      </c>
      <c r="AX28" s="73">
        <v>0.0</v>
      </c>
      <c r="AY28" s="73">
        <v>0.0</v>
      </c>
      <c r="AZ28" s="73"/>
      <c r="BA28" s="73"/>
      <c r="BB28" s="73"/>
      <c r="BC28" s="73">
        <f t="shared" ref="BC28:BE28" si="103">AQ28+AW28</f>
        <v>-375.92911</v>
      </c>
      <c r="BD28" s="73">
        <f t="shared" si="103"/>
        <v>0</v>
      </c>
      <c r="BE28" s="73">
        <f t="shared" si="103"/>
        <v>-375.92911</v>
      </c>
      <c r="BF28" s="73"/>
      <c r="BG28" s="73"/>
      <c r="BH28" s="73"/>
      <c r="BI28" s="73"/>
      <c r="BJ28" s="73"/>
      <c r="BK28" s="73"/>
      <c r="BL28" s="73"/>
      <c r="BM28" s="73"/>
      <c r="BN28" s="73"/>
      <c r="BO28" s="73"/>
      <c r="BP28" s="73"/>
      <c r="BQ28" s="73"/>
      <c r="BR28" s="73"/>
      <c r="BS28" s="73"/>
      <c r="BT28" s="73"/>
      <c r="BU28" s="73"/>
      <c r="BV28" s="73"/>
      <c r="BW28" s="73"/>
      <c r="BX28" s="73"/>
      <c r="BY28" s="73"/>
      <c r="BZ28" s="73"/>
      <c r="CA28" s="73"/>
      <c r="CB28" s="73"/>
      <c r="CC28" s="73"/>
      <c r="CD28" s="73"/>
      <c r="CE28" s="73"/>
      <c r="CF28" s="73"/>
      <c r="CG28" s="73"/>
      <c r="CH28" s="73"/>
      <c r="CI28" s="73"/>
      <c r="CJ28" s="73"/>
      <c r="CK28" s="73"/>
      <c r="CL28" s="73"/>
      <c r="CM28" s="73"/>
      <c r="CN28" s="73"/>
      <c r="CO28" s="73"/>
      <c r="CP28" s="73"/>
      <c r="CQ28" s="73"/>
      <c r="CR28" s="73"/>
      <c r="CS28" s="73"/>
      <c r="CT28" s="73"/>
      <c r="CU28" s="73"/>
      <c r="CV28" s="73"/>
      <c r="CW28" s="73"/>
      <c r="CX28" s="73"/>
      <c r="CY28" s="73"/>
      <c r="CZ28" s="73"/>
      <c r="DA28" s="73"/>
      <c r="DB28" s="73"/>
      <c r="DC28" s="73"/>
      <c r="DD28" s="73"/>
      <c r="DE28" s="73"/>
      <c r="DF28" s="73"/>
      <c r="DG28" s="73"/>
      <c r="DH28" s="73"/>
      <c r="DI28" s="73"/>
      <c r="DJ28" s="73"/>
      <c r="DK28" s="73"/>
      <c r="DL28" s="73"/>
      <c r="DM28" s="73"/>
      <c r="DN28" s="73"/>
      <c r="DO28" s="73"/>
      <c r="DP28" s="73"/>
      <c r="DQ28" s="73"/>
      <c r="DR28" s="73"/>
      <c r="DS28" s="73"/>
      <c r="DT28" s="73"/>
      <c r="DU28" s="74"/>
      <c r="DV28" s="74"/>
      <c r="DW28" s="74"/>
      <c r="DX28" s="74"/>
      <c r="DY28" s="74"/>
      <c r="DZ28" s="74"/>
      <c r="EA28" s="76"/>
    </row>
    <row r="29" ht="21.75" customHeight="1">
      <c r="A29" s="64"/>
      <c r="B29" s="70"/>
      <c r="C29" s="71"/>
      <c r="D29" s="71"/>
      <c r="E29" s="71"/>
      <c r="F29" s="78" t="s">
        <v>51</v>
      </c>
      <c r="G29" s="73"/>
      <c r="H29" s="73"/>
      <c r="I29" s="73"/>
      <c r="J29" s="73"/>
      <c r="K29" s="73"/>
      <c r="L29" s="73"/>
      <c r="M29" s="79">
        <f t="shared" ref="M29:O29" si="104">M30+M31</f>
        <v>0</v>
      </c>
      <c r="N29" s="79">
        <f t="shared" si="104"/>
        <v>0</v>
      </c>
      <c r="O29" s="79">
        <f t="shared" si="104"/>
        <v>0</v>
      </c>
      <c r="P29" s="73"/>
      <c r="Q29" s="73"/>
      <c r="R29" s="73"/>
      <c r="S29" s="79">
        <f t="shared" ref="S29:U29" si="105">S30+S31</f>
        <v>0</v>
      </c>
      <c r="T29" s="79">
        <f t="shared" si="105"/>
        <v>0</v>
      </c>
      <c r="U29" s="79">
        <f t="shared" si="105"/>
        <v>0</v>
      </c>
      <c r="V29" s="73"/>
      <c r="W29" s="73"/>
      <c r="X29" s="73"/>
      <c r="Y29" s="79">
        <f t="shared" ref="Y29:AA29" si="106">Y30+Y31</f>
        <v>0</v>
      </c>
      <c r="Z29" s="79">
        <f t="shared" si="106"/>
        <v>0</v>
      </c>
      <c r="AA29" s="79">
        <f t="shared" si="106"/>
        <v>0</v>
      </c>
      <c r="AB29" s="73"/>
      <c r="AC29" s="73"/>
      <c r="AD29" s="73"/>
      <c r="AE29" s="79">
        <f t="shared" ref="AE29:AG29" si="107">M29+S29+Y29</f>
        <v>0</v>
      </c>
      <c r="AF29" s="79">
        <f t="shared" si="107"/>
        <v>0</v>
      </c>
      <c r="AG29" s="79">
        <f t="shared" si="107"/>
        <v>0</v>
      </c>
      <c r="AH29" s="73"/>
      <c r="AI29" s="73"/>
      <c r="AJ29" s="73"/>
      <c r="AK29" s="79">
        <f t="shared" ref="AK29:AM29" si="108">AK30+AK31</f>
        <v>0</v>
      </c>
      <c r="AL29" s="79">
        <f t="shared" si="108"/>
        <v>0</v>
      </c>
      <c r="AM29" s="79">
        <f t="shared" si="108"/>
        <v>0</v>
      </c>
      <c r="AN29" s="79"/>
      <c r="AO29" s="79"/>
      <c r="AP29" s="79"/>
      <c r="AQ29" s="79">
        <f t="shared" ref="AQ29:AS29" si="109">AE29+AK29</f>
        <v>0</v>
      </c>
      <c r="AR29" s="79">
        <f t="shared" si="109"/>
        <v>0</v>
      </c>
      <c r="AS29" s="79">
        <f t="shared" si="109"/>
        <v>0</v>
      </c>
      <c r="AT29" s="73"/>
      <c r="AU29" s="73"/>
      <c r="AV29" s="73"/>
      <c r="AW29" s="79">
        <v>0.0</v>
      </c>
      <c r="AX29" s="79">
        <v>0.0</v>
      </c>
      <c r="AY29" s="79">
        <v>0.0</v>
      </c>
      <c r="AZ29" s="73"/>
      <c r="BA29" s="73"/>
      <c r="BB29" s="73"/>
      <c r="BC29" s="79">
        <f t="shared" ref="BC29:BE29" si="110">AQ29+AW29</f>
        <v>0</v>
      </c>
      <c r="BD29" s="79">
        <f t="shared" si="110"/>
        <v>0</v>
      </c>
      <c r="BE29" s="79">
        <f t="shared" si="110"/>
        <v>0</v>
      </c>
      <c r="BF29" s="73">
        <f t="shared" ref="BF29:DY29" si="111">BF31+BF32+BF33</f>
        <v>0</v>
      </c>
      <c r="BG29" s="73">
        <f t="shared" si="111"/>
        <v>0</v>
      </c>
      <c r="BH29" s="73">
        <f t="shared" si="111"/>
        <v>0</v>
      </c>
      <c r="BI29" s="73">
        <f t="shared" si="111"/>
        <v>0</v>
      </c>
      <c r="BJ29" s="73">
        <f t="shared" si="111"/>
        <v>0</v>
      </c>
      <c r="BK29" s="73">
        <f t="shared" si="111"/>
        <v>0</v>
      </c>
      <c r="BL29" s="73">
        <f t="shared" si="111"/>
        <v>0</v>
      </c>
      <c r="BM29" s="73">
        <f t="shared" si="111"/>
        <v>0</v>
      </c>
      <c r="BN29" s="73">
        <f t="shared" si="111"/>
        <v>0</v>
      </c>
      <c r="BO29" s="73">
        <f t="shared" si="111"/>
        <v>0</v>
      </c>
      <c r="BP29" s="73">
        <f t="shared" si="111"/>
        <v>0</v>
      </c>
      <c r="BQ29" s="73">
        <f t="shared" si="111"/>
        <v>0</v>
      </c>
      <c r="BR29" s="73">
        <f t="shared" si="111"/>
        <v>0</v>
      </c>
      <c r="BS29" s="73">
        <f t="shared" si="111"/>
        <v>0</v>
      </c>
      <c r="BT29" s="73">
        <f t="shared" si="111"/>
        <v>0</v>
      </c>
      <c r="BU29" s="73">
        <f t="shared" si="111"/>
        <v>0</v>
      </c>
      <c r="BV29" s="73">
        <f t="shared" si="111"/>
        <v>0</v>
      </c>
      <c r="BW29" s="73">
        <f t="shared" si="111"/>
        <v>0</v>
      </c>
      <c r="BX29" s="73">
        <f t="shared" si="111"/>
        <v>0</v>
      </c>
      <c r="BY29" s="73">
        <f t="shared" si="111"/>
        <v>0</v>
      </c>
      <c r="BZ29" s="73">
        <f t="shared" si="111"/>
        <v>0</v>
      </c>
      <c r="CA29" s="73">
        <f t="shared" si="111"/>
        <v>0</v>
      </c>
      <c r="CB29" s="73">
        <f t="shared" si="111"/>
        <v>0</v>
      </c>
      <c r="CC29" s="73">
        <f t="shared" si="111"/>
        <v>0</v>
      </c>
      <c r="CD29" s="73">
        <f t="shared" si="111"/>
        <v>0</v>
      </c>
      <c r="CE29" s="73">
        <f t="shared" si="111"/>
        <v>0</v>
      </c>
      <c r="CF29" s="73">
        <f t="shared" si="111"/>
        <v>0</v>
      </c>
      <c r="CG29" s="73">
        <f t="shared" si="111"/>
        <v>0</v>
      </c>
      <c r="CH29" s="73">
        <f t="shared" si="111"/>
        <v>0</v>
      </c>
      <c r="CI29" s="73">
        <f t="shared" si="111"/>
        <v>0</v>
      </c>
      <c r="CJ29" s="73">
        <f t="shared" si="111"/>
        <v>0</v>
      </c>
      <c r="CK29" s="73">
        <f t="shared" si="111"/>
        <v>0</v>
      </c>
      <c r="CL29" s="73">
        <f t="shared" si="111"/>
        <v>0</v>
      </c>
      <c r="CM29" s="73">
        <f t="shared" si="111"/>
        <v>0</v>
      </c>
      <c r="CN29" s="73">
        <f t="shared" si="111"/>
        <v>0</v>
      </c>
      <c r="CO29" s="73">
        <f t="shared" si="111"/>
        <v>0</v>
      </c>
      <c r="CP29" s="73">
        <f t="shared" si="111"/>
        <v>0</v>
      </c>
      <c r="CQ29" s="73">
        <f t="shared" si="111"/>
        <v>0</v>
      </c>
      <c r="CR29" s="73">
        <f t="shared" si="111"/>
        <v>0</v>
      </c>
      <c r="CS29" s="73">
        <f t="shared" si="111"/>
        <v>0</v>
      </c>
      <c r="CT29" s="73">
        <f t="shared" si="111"/>
        <v>0</v>
      </c>
      <c r="CU29" s="73">
        <f t="shared" si="111"/>
        <v>0</v>
      </c>
      <c r="CV29" s="73">
        <f t="shared" si="111"/>
        <v>0</v>
      </c>
      <c r="CW29" s="73">
        <f t="shared" si="111"/>
        <v>0</v>
      </c>
      <c r="CX29" s="73">
        <f t="shared" si="111"/>
        <v>0</v>
      </c>
      <c r="CY29" s="73">
        <f t="shared" si="111"/>
        <v>0</v>
      </c>
      <c r="CZ29" s="73">
        <f t="shared" si="111"/>
        <v>0</v>
      </c>
      <c r="DA29" s="73">
        <f t="shared" si="111"/>
        <v>0</v>
      </c>
      <c r="DB29" s="73">
        <f t="shared" si="111"/>
        <v>0</v>
      </c>
      <c r="DC29" s="73">
        <f t="shared" si="111"/>
        <v>0</v>
      </c>
      <c r="DD29" s="73">
        <f t="shared" si="111"/>
        <v>0</v>
      </c>
      <c r="DE29" s="73">
        <f t="shared" si="111"/>
        <v>0</v>
      </c>
      <c r="DF29" s="73">
        <f t="shared" si="111"/>
        <v>0</v>
      </c>
      <c r="DG29" s="73">
        <f t="shared" si="111"/>
        <v>0</v>
      </c>
      <c r="DH29" s="73">
        <f t="shared" si="111"/>
        <v>0</v>
      </c>
      <c r="DI29" s="73">
        <f t="shared" si="111"/>
        <v>0</v>
      </c>
      <c r="DJ29" s="73">
        <f t="shared" si="111"/>
        <v>0</v>
      </c>
      <c r="DK29" s="73">
        <f t="shared" si="111"/>
        <v>0</v>
      </c>
      <c r="DL29" s="73">
        <f t="shared" si="111"/>
        <v>0</v>
      </c>
      <c r="DM29" s="73">
        <f t="shared" si="111"/>
        <v>0</v>
      </c>
      <c r="DN29" s="73">
        <f t="shared" si="111"/>
        <v>0</v>
      </c>
      <c r="DO29" s="73">
        <f t="shared" si="111"/>
        <v>0</v>
      </c>
      <c r="DP29" s="73">
        <f t="shared" si="111"/>
        <v>0</v>
      </c>
      <c r="DQ29" s="73">
        <f t="shared" si="111"/>
        <v>0</v>
      </c>
      <c r="DR29" s="73">
        <f t="shared" si="111"/>
        <v>0</v>
      </c>
      <c r="DS29" s="73">
        <f t="shared" si="111"/>
        <v>0</v>
      </c>
      <c r="DT29" s="73">
        <f t="shared" si="111"/>
        <v>0</v>
      </c>
      <c r="DU29" s="73">
        <f t="shared" si="111"/>
        <v>0</v>
      </c>
      <c r="DV29" s="73">
        <f t="shared" si="111"/>
        <v>0</v>
      </c>
      <c r="DW29" s="73">
        <f t="shared" si="111"/>
        <v>0</v>
      </c>
      <c r="DX29" s="73">
        <f t="shared" si="111"/>
        <v>0</v>
      </c>
      <c r="DY29" s="73">
        <f t="shared" si="111"/>
        <v>0</v>
      </c>
      <c r="DZ29" s="73"/>
      <c r="EA29" s="76"/>
    </row>
    <row r="30" ht="21.75" customHeight="1">
      <c r="A30" s="64"/>
      <c r="B30" s="70"/>
      <c r="C30" s="71"/>
      <c r="D30" s="71"/>
      <c r="E30" s="71"/>
      <c r="F30" s="81" t="s">
        <v>47</v>
      </c>
      <c r="G30" s="73"/>
      <c r="H30" s="73"/>
      <c r="I30" s="73"/>
      <c r="J30" s="73"/>
      <c r="K30" s="73"/>
      <c r="L30" s="73"/>
      <c r="M30" s="73">
        <v>0.0</v>
      </c>
      <c r="N30" s="73">
        <v>0.0</v>
      </c>
      <c r="O30" s="73">
        <v>0.0</v>
      </c>
      <c r="P30" s="73"/>
      <c r="Q30" s="73"/>
      <c r="R30" s="73"/>
      <c r="S30" s="73">
        <v>0.0</v>
      </c>
      <c r="T30" s="73">
        <v>0.0</v>
      </c>
      <c r="U30" s="73">
        <v>0.0</v>
      </c>
      <c r="V30" s="73"/>
      <c r="W30" s="73"/>
      <c r="X30" s="73"/>
      <c r="Y30" s="73">
        <v>0.0</v>
      </c>
      <c r="Z30" s="73">
        <v>0.0</v>
      </c>
      <c r="AA30" s="73">
        <v>0.0</v>
      </c>
      <c r="AB30" s="73"/>
      <c r="AC30" s="73"/>
      <c r="AD30" s="73"/>
      <c r="AE30" s="73">
        <f t="shared" ref="AE30:AG30" si="112">M30+S30+Y30</f>
        <v>0</v>
      </c>
      <c r="AF30" s="73">
        <f t="shared" si="112"/>
        <v>0</v>
      </c>
      <c r="AG30" s="73">
        <f t="shared" si="112"/>
        <v>0</v>
      </c>
      <c r="AH30" s="73"/>
      <c r="AI30" s="73"/>
      <c r="AJ30" s="73"/>
      <c r="AK30" s="73">
        <v>0.0</v>
      </c>
      <c r="AL30" s="73">
        <v>0.0</v>
      </c>
      <c r="AM30" s="73">
        <v>0.0</v>
      </c>
      <c r="AN30" s="73"/>
      <c r="AO30" s="73"/>
      <c r="AP30" s="73"/>
      <c r="AQ30" s="73">
        <f t="shared" ref="AQ30:AS30" si="113">AE30+AK30</f>
        <v>0</v>
      </c>
      <c r="AR30" s="73">
        <f t="shared" si="113"/>
        <v>0</v>
      </c>
      <c r="AS30" s="73">
        <f t="shared" si="113"/>
        <v>0</v>
      </c>
      <c r="AT30" s="73"/>
      <c r="AU30" s="73"/>
      <c r="AV30" s="73"/>
      <c r="AW30" s="73">
        <v>0.0</v>
      </c>
      <c r="AX30" s="73">
        <v>0.0</v>
      </c>
      <c r="AY30" s="73">
        <v>0.0</v>
      </c>
      <c r="AZ30" s="73"/>
      <c r="BA30" s="73"/>
      <c r="BB30" s="73"/>
      <c r="BC30" s="73">
        <f t="shared" ref="BC30:BE30" si="114">AQ30+AW30</f>
        <v>0</v>
      </c>
      <c r="BD30" s="73">
        <f t="shared" si="114"/>
        <v>0</v>
      </c>
      <c r="BE30" s="73">
        <f t="shared" si="114"/>
        <v>0</v>
      </c>
      <c r="BF30" s="73"/>
      <c r="BG30" s="73"/>
      <c r="BH30" s="73"/>
      <c r="BI30" s="73"/>
      <c r="BJ30" s="73"/>
      <c r="BK30" s="73"/>
      <c r="BL30" s="73"/>
      <c r="BM30" s="73"/>
      <c r="BN30" s="73"/>
      <c r="BO30" s="73"/>
      <c r="BP30" s="73"/>
      <c r="BQ30" s="73"/>
      <c r="BR30" s="73"/>
      <c r="BS30" s="73"/>
      <c r="BT30" s="73"/>
      <c r="BU30" s="73"/>
      <c r="BV30" s="73"/>
      <c r="BW30" s="73"/>
      <c r="BX30" s="73"/>
      <c r="BY30" s="73"/>
      <c r="BZ30" s="73"/>
      <c r="CA30" s="73"/>
      <c r="CB30" s="73"/>
      <c r="CC30" s="73"/>
      <c r="CD30" s="73"/>
      <c r="CE30" s="73"/>
      <c r="CF30" s="73"/>
      <c r="CG30" s="73"/>
      <c r="CH30" s="73"/>
      <c r="CI30" s="73"/>
      <c r="CJ30" s="73"/>
      <c r="CK30" s="73"/>
      <c r="CL30" s="73"/>
      <c r="CM30" s="73"/>
      <c r="CN30" s="73"/>
      <c r="CO30" s="73"/>
      <c r="CP30" s="73"/>
      <c r="CQ30" s="73"/>
      <c r="CR30" s="73"/>
      <c r="CS30" s="73"/>
      <c r="CT30" s="73"/>
      <c r="CU30" s="73"/>
      <c r="CV30" s="73"/>
      <c r="CW30" s="73"/>
      <c r="CX30" s="73"/>
      <c r="CY30" s="73"/>
      <c r="CZ30" s="73"/>
      <c r="DA30" s="73"/>
      <c r="DB30" s="73"/>
      <c r="DC30" s="73"/>
      <c r="DD30" s="73"/>
      <c r="DE30" s="73"/>
      <c r="DF30" s="73"/>
      <c r="DG30" s="73"/>
      <c r="DH30" s="73"/>
      <c r="DI30" s="73"/>
      <c r="DJ30" s="73"/>
      <c r="DK30" s="73"/>
      <c r="DL30" s="73"/>
      <c r="DM30" s="73"/>
      <c r="DN30" s="73"/>
      <c r="DO30" s="73"/>
      <c r="DP30" s="73"/>
      <c r="DQ30" s="73"/>
      <c r="DR30" s="73"/>
      <c r="DS30" s="73"/>
      <c r="DT30" s="73"/>
      <c r="DU30" s="73"/>
      <c r="DV30" s="73"/>
      <c r="DW30" s="73"/>
      <c r="DX30" s="73"/>
      <c r="DY30" s="73"/>
      <c r="DZ30" s="73"/>
      <c r="EA30" s="76"/>
    </row>
    <row r="31" ht="21.75" customHeight="1">
      <c r="A31" s="64"/>
      <c r="B31" s="70"/>
      <c r="C31" s="71"/>
      <c r="D31" s="71"/>
      <c r="E31" s="71"/>
      <c r="F31" s="81" t="s">
        <v>52</v>
      </c>
      <c r="G31" s="73"/>
      <c r="H31" s="73"/>
      <c r="I31" s="73"/>
      <c r="J31" s="73"/>
      <c r="K31" s="73"/>
      <c r="L31" s="73"/>
      <c r="M31" s="73">
        <f t="shared" ref="M31:M33" si="118">N31+O31</f>
        <v>0</v>
      </c>
      <c r="N31" s="73">
        <v>0.0</v>
      </c>
      <c r="O31" s="73">
        <v>0.0</v>
      </c>
      <c r="P31" s="73"/>
      <c r="Q31" s="73"/>
      <c r="R31" s="73"/>
      <c r="S31" s="73">
        <f t="shared" ref="S31:S33" si="119">T31+U31</f>
        <v>0</v>
      </c>
      <c r="T31" s="73">
        <v>0.0</v>
      </c>
      <c r="U31" s="73">
        <v>0.0</v>
      </c>
      <c r="V31" s="73"/>
      <c r="W31" s="73"/>
      <c r="X31" s="73"/>
      <c r="Y31" s="73">
        <f t="shared" ref="Y31:Y33" si="120">Z31+AA31</f>
        <v>0</v>
      </c>
      <c r="Z31" s="73">
        <v>0.0</v>
      </c>
      <c r="AA31" s="73">
        <v>0.0</v>
      </c>
      <c r="AB31" s="73"/>
      <c r="AC31" s="73"/>
      <c r="AD31" s="73"/>
      <c r="AE31" s="73">
        <f t="shared" ref="AE31:AG31" si="115">M31+S31+Y31</f>
        <v>0</v>
      </c>
      <c r="AF31" s="73">
        <f t="shared" si="115"/>
        <v>0</v>
      </c>
      <c r="AG31" s="73">
        <f t="shared" si="115"/>
        <v>0</v>
      </c>
      <c r="AH31" s="73"/>
      <c r="AI31" s="73"/>
      <c r="AJ31" s="73"/>
      <c r="AK31" s="73">
        <v>0.0</v>
      </c>
      <c r="AL31" s="73">
        <v>0.0</v>
      </c>
      <c r="AM31" s="73">
        <v>0.0</v>
      </c>
      <c r="AN31" s="73"/>
      <c r="AO31" s="73"/>
      <c r="AP31" s="73"/>
      <c r="AQ31" s="73">
        <f t="shared" ref="AQ31:AS31" si="116">AE31+AK31</f>
        <v>0</v>
      </c>
      <c r="AR31" s="73">
        <f t="shared" si="116"/>
        <v>0</v>
      </c>
      <c r="AS31" s="73">
        <f t="shared" si="116"/>
        <v>0</v>
      </c>
      <c r="AT31" s="73"/>
      <c r="AU31" s="73"/>
      <c r="AV31" s="73"/>
      <c r="AW31" s="73">
        <v>0.0</v>
      </c>
      <c r="AX31" s="73">
        <v>0.0</v>
      </c>
      <c r="AY31" s="73">
        <v>0.0</v>
      </c>
      <c r="AZ31" s="73"/>
      <c r="BA31" s="73"/>
      <c r="BB31" s="73"/>
      <c r="BC31" s="73">
        <f t="shared" ref="BC31:BE31" si="117">AQ31+AW31</f>
        <v>0</v>
      </c>
      <c r="BD31" s="73">
        <f t="shared" si="117"/>
        <v>0</v>
      </c>
      <c r="BE31" s="73">
        <f t="shared" si="117"/>
        <v>0</v>
      </c>
      <c r="BF31" s="73"/>
      <c r="BG31" s="73"/>
      <c r="BH31" s="73"/>
      <c r="BI31" s="73"/>
      <c r="BJ31" s="73"/>
      <c r="BK31" s="73"/>
      <c r="BL31" s="73"/>
      <c r="BM31" s="73"/>
      <c r="BN31" s="73"/>
      <c r="BO31" s="73"/>
      <c r="BP31" s="73"/>
      <c r="BQ31" s="73"/>
      <c r="BR31" s="73"/>
      <c r="BS31" s="73"/>
      <c r="BT31" s="73"/>
      <c r="BU31" s="73"/>
      <c r="BV31" s="73"/>
      <c r="BW31" s="73"/>
      <c r="BX31" s="73"/>
      <c r="BY31" s="73"/>
      <c r="BZ31" s="73"/>
      <c r="CA31" s="73"/>
      <c r="CB31" s="73"/>
      <c r="CC31" s="73"/>
      <c r="CD31" s="73"/>
      <c r="CE31" s="73"/>
      <c r="CF31" s="73"/>
      <c r="CG31" s="73"/>
      <c r="CH31" s="73"/>
      <c r="CI31" s="73"/>
      <c r="CJ31" s="73"/>
      <c r="CK31" s="73"/>
      <c r="CL31" s="73"/>
      <c r="CM31" s="73"/>
      <c r="CN31" s="73"/>
      <c r="CO31" s="73"/>
      <c r="CP31" s="73"/>
      <c r="CQ31" s="73"/>
      <c r="CR31" s="73"/>
      <c r="CS31" s="73"/>
      <c r="CT31" s="73"/>
      <c r="CU31" s="73"/>
      <c r="CV31" s="73"/>
      <c r="CW31" s="73"/>
      <c r="CX31" s="73"/>
      <c r="CY31" s="73"/>
      <c r="CZ31" s="73"/>
      <c r="DA31" s="73"/>
      <c r="DB31" s="73"/>
      <c r="DC31" s="73"/>
      <c r="DD31" s="73"/>
      <c r="DE31" s="73"/>
      <c r="DF31" s="73"/>
      <c r="DG31" s="73"/>
      <c r="DH31" s="73"/>
      <c r="DI31" s="73"/>
      <c r="DJ31" s="73"/>
      <c r="DK31" s="73"/>
      <c r="DL31" s="73"/>
      <c r="DM31" s="73"/>
      <c r="DN31" s="73"/>
      <c r="DO31" s="73"/>
      <c r="DP31" s="73"/>
      <c r="DQ31" s="73"/>
      <c r="DR31" s="73"/>
      <c r="DS31" s="73"/>
      <c r="DT31" s="73"/>
      <c r="DU31" s="74"/>
      <c r="DV31" s="74"/>
      <c r="DW31" s="72"/>
      <c r="DX31" s="72"/>
      <c r="DY31" s="72"/>
      <c r="DZ31" s="75"/>
      <c r="EA31" s="91"/>
    </row>
    <row r="32" ht="21.75" customHeight="1">
      <c r="A32" s="64"/>
      <c r="B32" s="70"/>
      <c r="C32" s="71"/>
      <c r="D32" s="71"/>
      <c r="E32" s="71"/>
      <c r="F32" s="78" t="s">
        <v>53</v>
      </c>
      <c r="G32" s="73"/>
      <c r="H32" s="73"/>
      <c r="I32" s="73"/>
      <c r="J32" s="73"/>
      <c r="K32" s="73"/>
      <c r="L32" s="73"/>
      <c r="M32" s="79">
        <f t="shared" si="118"/>
        <v>0</v>
      </c>
      <c r="N32" s="79">
        <v>0.0</v>
      </c>
      <c r="O32" s="79">
        <v>0.0</v>
      </c>
      <c r="P32" s="73"/>
      <c r="Q32" s="73"/>
      <c r="R32" s="73"/>
      <c r="S32" s="79">
        <f t="shared" si="119"/>
        <v>0</v>
      </c>
      <c r="T32" s="79">
        <v>0.0</v>
      </c>
      <c r="U32" s="79">
        <v>0.0</v>
      </c>
      <c r="V32" s="73"/>
      <c r="W32" s="73"/>
      <c r="X32" s="73"/>
      <c r="Y32" s="79">
        <f t="shared" si="120"/>
        <v>899485.847</v>
      </c>
      <c r="Z32" s="79">
        <v>0.0</v>
      </c>
      <c r="AA32" s="79">
        <v>899485.84696</v>
      </c>
      <c r="AB32" s="73"/>
      <c r="AC32" s="73"/>
      <c r="AD32" s="73"/>
      <c r="AE32" s="79">
        <f t="shared" ref="AE32:AG32" si="121">M32+S32+Y32</f>
        <v>899485.847</v>
      </c>
      <c r="AF32" s="79">
        <f t="shared" si="121"/>
        <v>0</v>
      </c>
      <c r="AG32" s="79">
        <f t="shared" si="121"/>
        <v>899485.847</v>
      </c>
      <c r="AH32" s="73"/>
      <c r="AI32" s="73"/>
      <c r="AJ32" s="73"/>
      <c r="AK32" s="79">
        <f>AL32+AM32</f>
        <v>37507.56436</v>
      </c>
      <c r="AL32" s="79">
        <v>0.0</v>
      </c>
      <c r="AM32" s="79">
        <v>37507.56436</v>
      </c>
      <c r="AN32" s="79"/>
      <c r="AO32" s="79"/>
      <c r="AP32" s="79"/>
      <c r="AQ32" s="79">
        <f t="shared" ref="AQ32:AS32" si="122">AE32+AK32</f>
        <v>936993.4113</v>
      </c>
      <c r="AR32" s="79">
        <f t="shared" si="122"/>
        <v>0</v>
      </c>
      <c r="AS32" s="79">
        <f t="shared" si="122"/>
        <v>936993.4113</v>
      </c>
      <c r="AT32" s="73"/>
      <c r="AU32" s="73"/>
      <c r="AV32" s="73"/>
      <c r="AW32" s="79">
        <v>3267.1878</v>
      </c>
      <c r="AX32" s="79">
        <v>0.0</v>
      </c>
      <c r="AY32" s="79">
        <v>3267.1878</v>
      </c>
      <c r="AZ32" s="73"/>
      <c r="BA32" s="73"/>
      <c r="BB32" s="73"/>
      <c r="BC32" s="79">
        <f t="shared" ref="BC32:BE32" si="123">AQ32+AW32</f>
        <v>940260.5991</v>
      </c>
      <c r="BD32" s="79">
        <f t="shared" si="123"/>
        <v>0</v>
      </c>
      <c r="BE32" s="79">
        <f t="shared" si="123"/>
        <v>940260.5991</v>
      </c>
      <c r="BF32" s="73"/>
      <c r="BG32" s="73"/>
      <c r="BH32" s="73"/>
      <c r="BI32" s="73"/>
      <c r="BJ32" s="73"/>
      <c r="BK32" s="73"/>
      <c r="BL32" s="73"/>
      <c r="BM32" s="73"/>
      <c r="BN32" s="73"/>
      <c r="BO32" s="73"/>
      <c r="BP32" s="73"/>
      <c r="BQ32" s="73"/>
      <c r="BR32" s="73"/>
      <c r="BS32" s="73"/>
      <c r="BT32" s="73"/>
      <c r="BU32" s="73"/>
      <c r="BV32" s="73"/>
      <c r="BW32" s="73"/>
      <c r="BX32" s="73"/>
      <c r="BY32" s="73"/>
      <c r="BZ32" s="73"/>
      <c r="CA32" s="73"/>
      <c r="CB32" s="73"/>
      <c r="CC32" s="73"/>
      <c r="CD32" s="73"/>
      <c r="CE32" s="73"/>
      <c r="CF32" s="73"/>
      <c r="CG32" s="73"/>
      <c r="CH32" s="73"/>
      <c r="CI32" s="73"/>
      <c r="CJ32" s="73"/>
      <c r="CK32" s="73"/>
      <c r="CL32" s="73"/>
      <c r="CM32" s="73"/>
      <c r="CN32" s="73"/>
      <c r="CO32" s="73"/>
      <c r="CP32" s="73"/>
      <c r="CQ32" s="73"/>
      <c r="CR32" s="73"/>
      <c r="CS32" s="73"/>
      <c r="CT32" s="73"/>
      <c r="CU32" s="73"/>
      <c r="CV32" s="73"/>
      <c r="CW32" s="73"/>
      <c r="CX32" s="73"/>
      <c r="CY32" s="73"/>
      <c r="CZ32" s="73"/>
      <c r="DA32" s="73"/>
      <c r="DB32" s="73"/>
      <c r="DC32" s="73"/>
      <c r="DD32" s="73"/>
      <c r="DE32" s="73"/>
      <c r="DF32" s="73"/>
      <c r="DG32" s="73"/>
      <c r="DH32" s="73"/>
      <c r="DI32" s="73"/>
      <c r="DJ32" s="73"/>
      <c r="DK32" s="73"/>
      <c r="DL32" s="73"/>
      <c r="DM32" s="73"/>
      <c r="DN32" s="73"/>
      <c r="DO32" s="73"/>
      <c r="DP32" s="73"/>
      <c r="DQ32" s="73"/>
      <c r="DR32" s="73"/>
      <c r="DS32" s="73"/>
      <c r="DT32" s="73"/>
      <c r="DU32" s="74"/>
      <c r="DV32" s="74"/>
      <c r="DW32" s="72"/>
      <c r="DX32" s="72"/>
      <c r="DY32" s="72"/>
      <c r="DZ32" s="72"/>
      <c r="EA32" s="82" t="s">
        <v>61</v>
      </c>
    </row>
    <row r="33" ht="21.75" customHeight="1">
      <c r="A33" s="64"/>
      <c r="B33" s="70"/>
      <c r="C33" s="71"/>
      <c r="D33" s="71"/>
      <c r="E33" s="71"/>
      <c r="F33" s="78" t="s">
        <v>55</v>
      </c>
      <c r="G33" s="73"/>
      <c r="H33" s="73"/>
      <c r="I33" s="73"/>
      <c r="J33" s="73"/>
      <c r="K33" s="73"/>
      <c r="L33" s="73"/>
      <c r="M33" s="79">
        <f t="shared" si="118"/>
        <v>0</v>
      </c>
      <c r="N33" s="79">
        <v>0.0</v>
      </c>
      <c r="O33" s="79">
        <v>0.0</v>
      </c>
      <c r="P33" s="73"/>
      <c r="Q33" s="73"/>
      <c r="R33" s="73"/>
      <c r="S33" s="79">
        <f t="shared" si="119"/>
        <v>0</v>
      </c>
      <c r="T33" s="79">
        <v>0.0</v>
      </c>
      <c r="U33" s="79">
        <v>0.0</v>
      </c>
      <c r="V33" s="73"/>
      <c r="W33" s="73"/>
      <c r="X33" s="73"/>
      <c r="Y33" s="79">
        <f t="shared" si="120"/>
        <v>0</v>
      </c>
      <c r="Z33" s="79">
        <v>0.0</v>
      </c>
      <c r="AA33" s="79">
        <v>0.0</v>
      </c>
      <c r="AB33" s="73"/>
      <c r="AC33" s="73"/>
      <c r="AD33" s="73"/>
      <c r="AE33" s="79">
        <f t="shared" ref="AE33:AG33" si="124">M33+S33+Y33</f>
        <v>0</v>
      </c>
      <c r="AF33" s="79">
        <f t="shared" si="124"/>
        <v>0</v>
      </c>
      <c r="AG33" s="79">
        <f t="shared" si="124"/>
        <v>0</v>
      </c>
      <c r="AH33" s="73"/>
      <c r="AI33" s="73"/>
      <c r="AJ33" s="73"/>
      <c r="AK33" s="79">
        <v>0.0</v>
      </c>
      <c r="AL33" s="79">
        <v>0.0</v>
      </c>
      <c r="AM33" s="79">
        <v>0.0</v>
      </c>
      <c r="AN33" s="79"/>
      <c r="AO33" s="79"/>
      <c r="AP33" s="79"/>
      <c r="AQ33" s="79">
        <f t="shared" ref="AQ33:AS33" si="125">AE33+AK33</f>
        <v>0</v>
      </c>
      <c r="AR33" s="79">
        <f t="shared" si="125"/>
        <v>0</v>
      </c>
      <c r="AS33" s="79">
        <f t="shared" si="125"/>
        <v>0</v>
      </c>
      <c r="AT33" s="73"/>
      <c r="AU33" s="73"/>
      <c r="AV33" s="73"/>
      <c r="AW33" s="79">
        <v>24142.57223</v>
      </c>
      <c r="AX33" s="79">
        <v>0.0</v>
      </c>
      <c r="AY33" s="79">
        <v>24142.57223</v>
      </c>
      <c r="AZ33" s="73"/>
      <c r="BA33" s="73"/>
      <c r="BB33" s="73"/>
      <c r="BC33" s="79">
        <f t="shared" ref="BC33:BE33" si="126">AQ33+AW33</f>
        <v>24142.57223</v>
      </c>
      <c r="BD33" s="79">
        <f t="shared" si="126"/>
        <v>0</v>
      </c>
      <c r="BE33" s="79">
        <f t="shared" si="126"/>
        <v>24142.57223</v>
      </c>
      <c r="BF33" s="73"/>
      <c r="BG33" s="73"/>
      <c r="BH33" s="73"/>
      <c r="BI33" s="73"/>
      <c r="BJ33" s="73"/>
      <c r="BK33" s="73"/>
      <c r="BL33" s="73"/>
      <c r="BM33" s="73"/>
      <c r="BN33" s="73"/>
      <c r="BO33" s="73"/>
      <c r="BP33" s="73"/>
      <c r="BQ33" s="73"/>
      <c r="BR33" s="73"/>
      <c r="BS33" s="73"/>
      <c r="BT33" s="73"/>
      <c r="BU33" s="73"/>
      <c r="BV33" s="73"/>
      <c r="BW33" s="73"/>
      <c r="BX33" s="73"/>
      <c r="BY33" s="73"/>
      <c r="BZ33" s="73"/>
      <c r="CA33" s="73"/>
      <c r="CB33" s="73"/>
      <c r="CC33" s="73"/>
      <c r="CD33" s="73"/>
      <c r="CE33" s="73"/>
      <c r="CF33" s="73"/>
      <c r="CG33" s="73"/>
      <c r="CH33" s="73"/>
      <c r="CI33" s="73"/>
      <c r="CJ33" s="73"/>
      <c r="CK33" s="73"/>
      <c r="CL33" s="73"/>
      <c r="CM33" s="73"/>
      <c r="CN33" s="73"/>
      <c r="CO33" s="73"/>
      <c r="CP33" s="73"/>
      <c r="CQ33" s="73"/>
      <c r="CR33" s="73"/>
      <c r="CS33" s="73"/>
      <c r="CT33" s="73"/>
      <c r="CU33" s="73"/>
      <c r="CV33" s="73"/>
      <c r="CW33" s="73"/>
      <c r="CX33" s="73"/>
      <c r="CY33" s="73"/>
      <c r="CZ33" s="73"/>
      <c r="DA33" s="73"/>
      <c r="DB33" s="73"/>
      <c r="DC33" s="73"/>
      <c r="DD33" s="73"/>
      <c r="DE33" s="73"/>
      <c r="DF33" s="73"/>
      <c r="DG33" s="73"/>
      <c r="DH33" s="73"/>
      <c r="DI33" s="73"/>
      <c r="DJ33" s="73"/>
      <c r="DK33" s="73"/>
      <c r="DL33" s="73"/>
      <c r="DM33" s="73"/>
      <c r="DN33" s="73"/>
      <c r="DO33" s="73"/>
      <c r="DP33" s="73"/>
      <c r="DQ33" s="73"/>
      <c r="DR33" s="73"/>
      <c r="DS33" s="73"/>
      <c r="DT33" s="73"/>
      <c r="DU33" s="74"/>
      <c r="DV33" s="74"/>
      <c r="DW33" s="72"/>
      <c r="DX33" s="72"/>
      <c r="DY33" s="72"/>
      <c r="DZ33" s="75"/>
      <c r="EA33" s="76" t="s">
        <v>62</v>
      </c>
    </row>
    <row r="34" ht="21.75" customHeight="1">
      <c r="A34" s="64"/>
      <c r="B34" s="70" t="s">
        <v>40</v>
      </c>
      <c r="C34" s="71" t="s">
        <v>63</v>
      </c>
      <c r="D34" s="71" t="s">
        <v>41</v>
      </c>
      <c r="E34" s="71" t="s">
        <v>64</v>
      </c>
      <c r="F34" s="72" t="s">
        <v>65</v>
      </c>
      <c r="G34" s="73">
        <v>1023395.0</v>
      </c>
      <c r="H34" s="73">
        <v>0.0</v>
      </c>
      <c r="I34" s="73">
        <v>1023395.0</v>
      </c>
      <c r="J34" s="73">
        <f t="shared" ref="J34:L34" si="127">J35+J37+J40</f>
        <v>0</v>
      </c>
      <c r="K34" s="73">
        <f t="shared" si="127"/>
        <v>0</v>
      </c>
      <c r="L34" s="73">
        <f t="shared" si="127"/>
        <v>0</v>
      </c>
      <c r="M34" s="73">
        <f t="shared" ref="M34:O34" si="128">M35+M37+M40+M43+M44</f>
        <v>7482.64757</v>
      </c>
      <c r="N34" s="73">
        <f t="shared" si="128"/>
        <v>0</v>
      </c>
      <c r="O34" s="73">
        <f t="shared" si="128"/>
        <v>7482.64757</v>
      </c>
      <c r="P34" s="73">
        <f t="shared" ref="P34:R34" si="129">P35+P37+P40</f>
        <v>0</v>
      </c>
      <c r="Q34" s="73">
        <f t="shared" si="129"/>
        <v>0</v>
      </c>
      <c r="R34" s="73">
        <f t="shared" si="129"/>
        <v>0</v>
      </c>
      <c r="S34" s="73">
        <f t="shared" ref="S34:U34" si="130">S35+S37+S40+S43+S44</f>
        <v>8276.015</v>
      </c>
      <c r="T34" s="73">
        <f t="shared" si="130"/>
        <v>0</v>
      </c>
      <c r="U34" s="73">
        <f t="shared" si="130"/>
        <v>8276.015</v>
      </c>
      <c r="V34" s="73">
        <v>1301.0</v>
      </c>
      <c r="W34" s="73">
        <f>W35+W37+W40</f>
        <v>0</v>
      </c>
      <c r="X34" s="73">
        <v>1301.0</v>
      </c>
      <c r="Y34" s="73">
        <f t="shared" ref="Y34:AA34" si="131">Y35+Y37+Y40+Y43+Y44</f>
        <v>239828.5566</v>
      </c>
      <c r="Z34" s="73">
        <f t="shared" si="131"/>
        <v>0</v>
      </c>
      <c r="AA34" s="73">
        <f t="shared" si="131"/>
        <v>239828.5566</v>
      </c>
      <c r="AB34" s="73">
        <f t="shared" ref="AB34:AG34" si="132">J34+P34+V34</f>
        <v>1301</v>
      </c>
      <c r="AC34" s="73">
        <f t="shared" si="132"/>
        <v>0</v>
      </c>
      <c r="AD34" s="73">
        <f t="shared" si="132"/>
        <v>1301</v>
      </c>
      <c r="AE34" s="73">
        <f t="shared" si="132"/>
        <v>255587.2191</v>
      </c>
      <c r="AF34" s="73">
        <f t="shared" si="132"/>
        <v>0</v>
      </c>
      <c r="AG34" s="73">
        <f t="shared" si="132"/>
        <v>255587.2191</v>
      </c>
      <c r="AH34" s="73">
        <f>AI34+AJ34</f>
        <v>4409</v>
      </c>
      <c r="AI34" s="73">
        <v>0.0</v>
      </c>
      <c r="AJ34" s="73">
        <v>4409.0</v>
      </c>
      <c r="AK34" s="73">
        <f t="shared" ref="AK34:AM34" si="133">AK35+AK37+AK40+AK43+AK44</f>
        <v>2051.02248</v>
      </c>
      <c r="AL34" s="73">
        <f t="shared" si="133"/>
        <v>0</v>
      </c>
      <c r="AM34" s="73">
        <f t="shared" si="133"/>
        <v>2051.02248</v>
      </c>
      <c r="AN34" s="73">
        <f t="shared" ref="AN34:AS34" si="134">AB34+AH34</f>
        <v>5710</v>
      </c>
      <c r="AO34" s="73">
        <f t="shared" si="134"/>
        <v>0</v>
      </c>
      <c r="AP34" s="73">
        <f t="shared" si="134"/>
        <v>5710</v>
      </c>
      <c r="AQ34" s="73">
        <f t="shared" si="134"/>
        <v>257638.2416</v>
      </c>
      <c r="AR34" s="73">
        <f t="shared" si="134"/>
        <v>0</v>
      </c>
      <c r="AS34" s="73">
        <f t="shared" si="134"/>
        <v>257638.2416</v>
      </c>
      <c r="AT34" s="73">
        <f>AU34+AV34</f>
        <v>6613</v>
      </c>
      <c r="AU34" s="73">
        <v>0.0</v>
      </c>
      <c r="AV34" s="73">
        <v>6613.0</v>
      </c>
      <c r="AW34" s="73">
        <f t="shared" ref="AW34:AY34" si="135">AW35+AW37+AW40+AW43+AW44</f>
        <v>10349.57029</v>
      </c>
      <c r="AX34" s="73">
        <f t="shared" si="135"/>
        <v>0</v>
      </c>
      <c r="AY34" s="73">
        <f t="shared" si="135"/>
        <v>10349.57029</v>
      </c>
      <c r="AZ34" s="73">
        <f t="shared" ref="AZ34:BE34" si="136">AN34+AT34</f>
        <v>12323</v>
      </c>
      <c r="BA34" s="73">
        <f t="shared" si="136"/>
        <v>0</v>
      </c>
      <c r="BB34" s="73">
        <f t="shared" si="136"/>
        <v>12323</v>
      </c>
      <c r="BC34" s="73">
        <f t="shared" si="136"/>
        <v>267987.8119</v>
      </c>
      <c r="BD34" s="73">
        <f t="shared" si="136"/>
        <v>0</v>
      </c>
      <c r="BE34" s="73">
        <f t="shared" si="136"/>
        <v>267987.8119</v>
      </c>
      <c r="BF34" s="73">
        <f t="shared" ref="BF34:DY34" si="137">BF35+BF37+BF40</f>
        <v>0</v>
      </c>
      <c r="BG34" s="73">
        <f t="shared" si="137"/>
        <v>0</v>
      </c>
      <c r="BH34" s="73">
        <f t="shared" si="137"/>
        <v>0</v>
      </c>
      <c r="BI34" s="73">
        <f t="shared" si="137"/>
        <v>0</v>
      </c>
      <c r="BJ34" s="73">
        <f t="shared" si="137"/>
        <v>0</v>
      </c>
      <c r="BK34" s="73">
        <f t="shared" si="137"/>
        <v>0</v>
      </c>
      <c r="BL34" s="73">
        <f t="shared" si="137"/>
        <v>0</v>
      </c>
      <c r="BM34" s="73">
        <f t="shared" si="137"/>
        <v>0</v>
      </c>
      <c r="BN34" s="73">
        <f t="shared" si="137"/>
        <v>0</v>
      </c>
      <c r="BO34" s="73">
        <f t="shared" si="137"/>
        <v>0</v>
      </c>
      <c r="BP34" s="73">
        <f t="shared" si="137"/>
        <v>0</v>
      </c>
      <c r="BQ34" s="73">
        <f t="shared" si="137"/>
        <v>0</v>
      </c>
      <c r="BR34" s="73">
        <f t="shared" si="137"/>
        <v>0</v>
      </c>
      <c r="BS34" s="73">
        <f t="shared" si="137"/>
        <v>0</v>
      </c>
      <c r="BT34" s="73">
        <f t="shared" si="137"/>
        <v>0</v>
      </c>
      <c r="BU34" s="73">
        <f t="shared" si="137"/>
        <v>0</v>
      </c>
      <c r="BV34" s="73">
        <f t="shared" si="137"/>
        <v>0</v>
      </c>
      <c r="BW34" s="73">
        <f t="shared" si="137"/>
        <v>0</v>
      </c>
      <c r="BX34" s="73">
        <f t="shared" si="137"/>
        <v>0</v>
      </c>
      <c r="BY34" s="73">
        <f t="shared" si="137"/>
        <v>0</v>
      </c>
      <c r="BZ34" s="73">
        <f t="shared" si="137"/>
        <v>0</v>
      </c>
      <c r="CA34" s="73">
        <f t="shared" si="137"/>
        <v>0</v>
      </c>
      <c r="CB34" s="73">
        <f t="shared" si="137"/>
        <v>0</v>
      </c>
      <c r="CC34" s="73">
        <f t="shared" si="137"/>
        <v>0</v>
      </c>
      <c r="CD34" s="73">
        <f t="shared" si="137"/>
        <v>0</v>
      </c>
      <c r="CE34" s="73">
        <f t="shared" si="137"/>
        <v>0</v>
      </c>
      <c r="CF34" s="73">
        <f t="shared" si="137"/>
        <v>0</v>
      </c>
      <c r="CG34" s="73">
        <f t="shared" si="137"/>
        <v>0</v>
      </c>
      <c r="CH34" s="73">
        <f t="shared" si="137"/>
        <v>0</v>
      </c>
      <c r="CI34" s="73">
        <f t="shared" si="137"/>
        <v>0</v>
      </c>
      <c r="CJ34" s="73">
        <f t="shared" si="137"/>
        <v>0</v>
      </c>
      <c r="CK34" s="73">
        <f t="shared" si="137"/>
        <v>0</v>
      </c>
      <c r="CL34" s="73">
        <f t="shared" si="137"/>
        <v>0</v>
      </c>
      <c r="CM34" s="73">
        <f t="shared" si="137"/>
        <v>0</v>
      </c>
      <c r="CN34" s="73">
        <f t="shared" si="137"/>
        <v>0</v>
      </c>
      <c r="CO34" s="73">
        <f t="shared" si="137"/>
        <v>0</v>
      </c>
      <c r="CP34" s="73">
        <f t="shared" si="137"/>
        <v>0</v>
      </c>
      <c r="CQ34" s="73">
        <f t="shared" si="137"/>
        <v>0</v>
      </c>
      <c r="CR34" s="73">
        <f t="shared" si="137"/>
        <v>0</v>
      </c>
      <c r="CS34" s="73">
        <f t="shared" si="137"/>
        <v>0</v>
      </c>
      <c r="CT34" s="73">
        <f t="shared" si="137"/>
        <v>0</v>
      </c>
      <c r="CU34" s="73">
        <f t="shared" si="137"/>
        <v>0</v>
      </c>
      <c r="CV34" s="73">
        <f t="shared" si="137"/>
        <v>0</v>
      </c>
      <c r="CW34" s="73">
        <f t="shared" si="137"/>
        <v>0</v>
      </c>
      <c r="CX34" s="73">
        <f t="shared" si="137"/>
        <v>0</v>
      </c>
      <c r="CY34" s="73">
        <f t="shared" si="137"/>
        <v>0</v>
      </c>
      <c r="CZ34" s="73">
        <f t="shared" si="137"/>
        <v>0</v>
      </c>
      <c r="DA34" s="73">
        <f t="shared" si="137"/>
        <v>0</v>
      </c>
      <c r="DB34" s="73">
        <f t="shared" si="137"/>
        <v>0</v>
      </c>
      <c r="DC34" s="73">
        <f t="shared" si="137"/>
        <v>0</v>
      </c>
      <c r="DD34" s="73">
        <f t="shared" si="137"/>
        <v>0</v>
      </c>
      <c r="DE34" s="73">
        <f t="shared" si="137"/>
        <v>0</v>
      </c>
      <c r="DF34" s="73">
        <f t="shared" si="137"/>
        <v>0</v>
      </c>
      <c r="DG34" s="73">
        <f t="shared" si="137"/>
        <v>0</v>
      </c>
      <c r="DH34" s="73">
        <f t="shared" si="137"/>
        <v>0</v>
      </c>
      <c r="DI34" s="73">
        <f t="shared" si="137"/>
        <v>0</v>
      </c>
      <c r="DJ34" s="73">
        <f t="shared" si="137"/>
        <v>0</v>
      </c>
      <c r="DK34" s="73">
        <f t="shared" si="137"/>
        <v>0</v>
      </c>
      <c r="DL34" s="73">
        <f t="shared" si="137"/>
        <v>0</v>
      </c>
      <c r="DM34" s="73">
        <f t="shared" si="137"/>
        <v>0</v>
      </c>
      <c r="DN34" s="73">
        <f t="shared" si="137"/>
        <v>0</v>
      </c>
      <c r="DO34" s="73">
        <f t="shared" si="137"/>
        <v>0</v>
      </c>
      <c r="DP34" s="73">
        <f t="shared" si="137"/>
        <v>0</v>
      </c>
      <c r="DQ34" s="73">
        <f t="shared" si="137"/>
        <v>0</v>
      </c>
      <c r="DR34" s="73">
        <f t="shared" si="137"/>
        <v>0</v>
      </c>
      <c r="DS34" s="73">
        <f t="shared" si="137"/>
        <v>0</v>
      </c>
      <c r="DT34" s="73">
        <f t="shared" si="137"/>
        <v>0</v>
      </c>
      <c r="DU34" s="73">
        <f t="shared" si="137"/>
        <v>0</v>
      </c>
      <c r="DV34" s="73">
        <f t="shared" si="137"/>
        <v>0</v>
      </c>
      <c r="DW34" s="73">
        <f t="shared" si="137"/>
        <v>0</v>
      </c>
      <c r="DX34" s="73">
        <f t="shared" si="137"/>
        <v>0</v>
      </c>
      <c r="DY34" s="73">
        <f t="shared" si="137"/>
        <v>0</v>
      </c>
      <c r="DZ34" s="75"/>
      <c r="EA34" s="76"/>
    </row>
    <row r="35" ht="21.75" customHeight="1">
      <c r="A35" s="77"/>
      <c r="B35" s="44"/>
      <c r="C35" s="45"/>
      <c r="D35" s="45"/>
      <c r="E35" s="45"/>
      <c r="F35" s="78" t="s">
        <v>46</v>
      </c>
      <c r="G35" s="79"/>
      <c r="H35" s="79"/>
      <c r="I35" s="79"/>
      <c r="J35" s="79"/>
      <c r="K35" s="79"/>
      <c r="L35" s="79"/>
      <c r="M35" s="79">
        <f>M36</f>
        <v>0</v>
      </c>
      <c r="N35" s="79">
        <v>0.0</v>
      </c>
      <c r="O35" s="79">
        <v>0.0</v>
      </c>
      <c r="P35" s="79"/>
      <c r="Q35" s="79"/>
      <c r="R35" s="79"/>
      <c r="S35" s="79">
        <f t="shared" ref="S35:U35" si="138">S36</f>
        <v>2088.17486</v>
      </c>
      <c r="T35" s="79">
        <f t="shared" si="138"/>
        <v>0</v>
      </c>
      <c r="U35" s="79">
        <f t="shared" si="138"/>
        <v>2088.17486</v>
      </c>
      <c r="V35" s="79"/>
      <c r="W35" s="79"/>
      <c r="X35" s="79"/>
      <c r="Y35" s="79">
        <f t="shared" ref="Y35:AA35" si="139">Y36</f>
        <v>4858.30312</v>
      </c>
      <c r="Z35" s="79">
        <f t="shared" si="139"/>
        <v>0</v>
      </c>
      <c r="AA35" s="79">
        <f t="shared" si="139"/>
        <v>4858.30312</v>
      </c>
      <c r="AB35" s="79"/>
      <c r="AC35" s="79"/>
      <c r="AD35" s="79"/>
      <c r="AE35" s="79">
        <f t="shared" ref="AE35:AG35" si="140">M35+S35+Y35</f>
        <v>6946.47798</v>
      </c>
      <c r="AF35" s="79">
        <f t="shared" si="140"/>
        <v>0</v>
      </c>
      <c r="AG35" s="79">
        <f t="shared" si="140"/>
        <v>6946.47798</v>
      </c>
      <c r="AH35" s="79"/>
      <c r="AI35" s="79"/>
      <c r="AJ35" s="79"/>
      <c r="AK35" s="79">
        <f>AK36</f>
        <v>0</v>
      </c>
      <c r="AL35" s="79">
        <v>0.0</v>
      </c>
      <c r="AM35" s="79">
        <v>0.0</v>
      </c>
      <c r="AN35" s="73"/>
      <c r="AO35" s="73"/>
      <c r="AP35" s="73"/>
      <c r="AQ35" s="79">
        <f t="shared" ref="AQ35:AS35" si="141">AE35+AK35</f>
        <v>6946.47798</v>
      </c>
      <c r="AR35" s="79">
        <f t="shared" si="141"/>
        <v>0</v>
      </c>
      <c r="AS35" s="79">
        <f t="shared" si="141"/>
        <v>6946.47798</v>
      </c>
      <c r="AT35" s="79"/>
      <c r="AU35" s="79"/>
      <c r="AV35" s="79"/>
      <c r="AW35" s="79">
        <v>0.0</v>
      </c>
      <c r="AX35" s="79">
        <v>0.0</v>
      </c>
      <c r="AY35" s="79">
        <v>0.0</v>
      </c>
      <c r="AZ35" s="79"/>
      <c r="BA35" s="79"/>
      <c r="BB35" s="79"/>
      <c r="BC35" s="79">
        <f t="shared" ref="BC35:BE35" si="142">AQ35+AW35</f>
        <v>6946.47798</v>
      </c>
      <c r="BD35" s="79">
        <f t="shared" si="142"/>
        <v>0</v>
      </c>
      <c r="BE35" s="79">
        <f t="shared" si="142"/>
        <v>6946.47798</v>
      </c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79"/>
      <c r="BT35" s="79"/>
      <c r="BU35" s="79"/>
      <c r="BV35" s="79"/>
      <c r="BW35" s="79"/>
      <c r="BX35" s="79"/>
      <c r="BY35" s="79"/>
      <c r="BZ35" s="79"/>
      <c r="CA35" s="79"/>
      <c r="CB35" s="79"/>
      <c r="CC35" s="79"/>
      <c r="CD35" s="79"/>
      <c r="CE35" s="79"/>
      <c r="CF35" s="79"/>
      <c r="CG35" s="79"/>
      <c r="CH35" s="79"/>
      <c r="CI35" s="79"/>
      <c r="CJ35" s="79"/>
      <c r="CK35" s="79"/>
      <c r="CL35" s="79"/>
      <c r="CM35" s="79"/>
      <c r="CN35" s="79"/>
      <c r="CO35" s="79"/>
      <c r="CP35" s="79"/>
      <c r="CQ35" s="79"/>
      <c r="CR35" s="79"/>
      <c r="CS35" s="79"/>
      <c r="CT35" s="79"/>
      <c r="CU35" s="79"/>
      <c r="CV35" s="79"/>
      <c r="CW35" s="79"/>
      <c r="CX35" s="79"/>
      <c r="CY35" s="79"/>
      <c r="CZ35" s="79"/>
      <c r="DA35" s="79"/>
      <c r="DB35" s="79"/>
      <c r="DC35" s="79"/>
      <c r="DD35" s="79"/>
      <c r="DE35" s="79"/>
      <c r="DF35" s="79"/>
      <c r="DG35" s="79"/>
      <c r="DH35" s="79"/>
      <c r="DI35" s="79"/>
      <c r="DJ35" s="79"/>
      <c r="DK35" s="79"/>
      <c r="DL35" s="79"/>
      <c r="DM35" s="79"/>
      <c r="DN35" s="79"/>
      <c r="DO35" s="79"/>
      <c r="DP35" s="79"/>
      <c r="DQ35" s="79"/>
      <c r="DR35" s="79"/>
      <c r="DS35" s="79"/>
      <c r="DT35" s="79"/>
      <c r="DU35" s="80"/>
      <c r="DV35" s="80"/>
      <c r="DW35" s="80"/>
      <c r="DX35" s="80"/>
      <c r="DY35" s="80"/>
      <c r="DZ35" s="75"/>
      <c r="EA35" s="76"/>
    </row>
    <row r="36" ht="21.75" customHeight="1">
      <c r="A36" s="64"/>
      <c r="B36" s="70"/>
      <c r="C36" s="71"/>
      <c r="D36" s="71"/>
      <c r="E36" s="71"/>
      <c r="F36" s="81" t="s">
        <v>47</v>
      </c>
      <c r="G36" s="73"/>
      <c r="H36" s="73"/>
      <c r="I36" s="73"/>
      <c r="J36" s="73"/>
      <c r="K36" s="73"/>
      <c r="L36" s="73"/>
      <c r="M36" s="73">
        <v>0.0</v>
      </c>
      <c r="N36" s="73">
        <v>0.0</v>
      </c>
      <c r="O36" s="73">
        <v>0.0</v>
      </c>
      <c r="P36" s="73"/>
      <c r="Q36" s="73"/>
      <c r="R36" s="73"/>
      <c r="S36" s="73">
        <f>T36+U36</f>
        <v>2088.17486</v>
      </c>
      <c r="T36" s="73">
        <v>0.0</v>
      </c>
      <c r="U36" s="73">
        <v>2088.17486</v>
      </c>
      <c r="V36" s="73"/>
      <c r="W36" s="73"/>
      <c r="X36" s="73"/>
      <c r="Y36" s="73">
        <f>Z36+AA36</f>
        <v>4858.30312</v>
      </c>
      <c r="Z36" s="73">
        <v>0.0</v>
      </c>
      <c r="AA36" s="73">
        <v>4858.30312</v>
      </c>
      <c r="AB36" s="73"/>
      <c r="AC36" s="73"/>
      <c r="AD36" s="73"/>
      <c r="AE36" s="73">
        <f t="shared" ref="AE36:AG36" si="143">M36+S36+Y36</f>
        <v>6946.47798</v>
      </c>
      <c r="AF36" s="73">
        <f t="shared" si="143"/>
        <v>0</v>
      </c>
      <c r="AG36" s="73">
        <f t="shared" si="143"/>
        <v>6946.47798</v>
      </c>
      <c r="AH36" s="73"/>
      <c r="AI36" s="73"/>
      <c r="AJ36" s="73"/>
      <c r="AK36" s="73">
        <v>0.0</v>
      </c>
      <c r="AL36" s="73">
        <v>0.0</v>
      </c>
      <c r="AM36" s="73">
        <v>0.0</v>
      </c>
      <c r="AN36" s="73"/>
      <c r="AO36" s="73"/>
      <c r="AP36" s="73"/>
      <c r="AQ36" s="73">
        <f t="shared" ref="AQ36:AS36" si="144">AE36+AK36</f>
        <v>6946.47798</v>
      </c>
      <c r="AR36" s="73">
        <f t="shared" si="144"/>
        <v>0</v>
      </c>
      <c r="AS36" s="73">
        <f t="shared" si="144"/>
        <v>6946.47798</v>
      </c>
      <c r="AT36" s="73"/>
      <c r="AU36" s="73"/>
      <c r="AV36" s="73"/>
      <c r="AW36" s="73">
        <v>0.0</v>
      </c>
      <c r="AX36" s="73">
        <v>0.0</v>
      </c>
      <c r="AY36" s="73">
        <v>0.0</v>
      </c>
      <c r="AZ36" s="73"/>
      <c r="BA36" s="73"/>
      <c r="BB36" s="73"/>
      <c r="BC36" s="73">
        <f t="shared" ref="BC36:BE36" si="145">AQ36+AW36</f>
        <v>6946.47798</v>
      </c>
      <c r="BD36" s="73">
        <f t="shared" si="145"/>
        <v>0</v>
      </c>
      <c r="BE36" s="73">
        <f t="shared" si="145"/>
        <v>6946.47798</v>
      </c>
      <c r="BF36" s="73"/>
      <c r="BG36" s="73"/>
      <c r="BH36" s="73"/>
      <c r="BI36" s="73"/>
      <c r="BJ36" s="73"/>
      <c r="BK36" s="73"/>
      <c r="BL36" s="73"/>
      <c r="BM36" s="73"/>
      <c r="BN36" s="73"/>
      <c r="BO36" s="73"/>
      <c r="BP36" s="73"/>
      <c r="BQ36" s="73"/>
      <c r="BR36" s="73"/>
      <c r="BS36" s="73"/>
      <c r="BT36" s="73"/>
      <c r="BU36" s="73"/>
      <c r="BV36" s="73"/>
      <c r="BW36" s="73"/>
      <c r="BX36" s="73"/>
      <c r="BY36" s="73"/>
      <c r="BZ36" s="73"/>
      <c r="CA36" s="73"/>
      <c r="CB36" s="73"/>
      <c r="CC36" s="73"/>
      <c r="CD36" s="73"/>
      <c r="CE36" s="73"/>
      <c r="CF36" s="73"/>
      <c r="CG36" s="73"/>
      <c r="CH36" s="73"/>
      <c r="CI36" s="73"/>
      <c r="CJ36" s="73"/>
      <c r="CK36" s="73"/>
      <c r="CL36" s="73"/>
      <c r="CM36" s="73"/>
      <c r="CN36" s="73"/>
      <c r="CO36" s="73"/>
      <c r="CP36" s="73"/>
      <c r="CQ36" s="73"/>
      <c r="CR36" s="73"/>
      <c r="CS36" s="73"/>
      <c r="CT36" s="73"/>
      <c r="CU36" s="73"/>
      <c r="CV36" s="73"/>
      <c r="CW36" s="73"/>
      <c r="CX36" s="73"/>
      <c r="CY36" s="73"/>
      <c r="CZ36" s="73"/>
      <c r="DA36" s="73"/>
      <c r="DB36" s="73"/>
      <c r="DC36" s="73"/>
      <c r="DD36" s="73"/>
      <c r="DE36" s="73"/>
      <c r="DF36" s="73"/>
      <c r="DG36" s="73"/>
      <c r="DH36" s="73"/>
      <c r="DI36" s="73"/>
      <c r="DJ36" s="73"/>
      <c r="DK36" s="73"/>
      <c r="DL36" s="73"/>
      <c r="DM36" s="73"/>
      <c r="DN36" s="73"/>
      <c r="DO36" s="73"/>
      <c r="DP36" s="73"/>
      <c r="DQ36" s="73"/>
      <c r="DR36" s="73"/>
      <c r="DS36" s="73"/>
      <c r="DT36" s="73"/>
      <c r="DU36" s="74"/>
      <c r="DV36" s="74"/>
      <c r="DW36" s="74"/>
      <c r="DX36" s="74"/>
      <c r="DY36" s="74"/>
      <c r="DZ36" s="75"/>
      <c r="EA36" s="76"/>
    </row>
    <row r="37" ht="21.75" customHeight="1">
      <c r="A37" s="77"/>
      <c r="B37" s="44"/>
      <c r="C37" s="45"/>
      <c r="D37" s="45"/>
      <c r="E37" s="45"/>
      <c r="F37" s="78" t="s">
        <v>48</v>
      </c>
      <c r="G37" s="79"/>
      <c r="H37" s="79"/>
      <c r="I37" s="79"/>
      <c r="J37" s="79"/>
      <c r="K37" s="79"/>
      <c r="L37" s="79"/>
      <c r="M37" s="79">
        <f t="shared" ref="M37:O37" si="146">M38+M39</f>
        <v>2621.71759</v>
      </c>
      <c r="N37" s="79">
        <f t="shared" si="146"/>
        <v>0</v>
      </c>
      <c r="O37" s="79">
        <f t="shared" si="146"/>
        <v>2621.71759</v>
      </c>
      <c r="P37" s="79"/>
      <c r="Q37" s="79"/>
      <c r="R37" s="79"/>
      <c r="S37" s="79">
        <f t="shared" ref="S37:U37" si="147">S38+S39</f>
        <v>3354.32112</v>
      </c>
      <c r="T37" s="79">
        <f t="shared" si="147"/>
        <v>0</v>
      </c>
      <c r="U37" s="79">
        <f t="shared" si="147"/>
        <v>3354.32112</v>
      </c>
      <c r="V37" s="79"/>
      <c r="W37" s="79"/>
      <c r="X37" s="79"/>
      <c r="Y37" s="79">
        <f t="shared" ref="Y37:AA37" si="148">Y38+Y39</f>
        <v>5784.87511</v>
      </c>
      <c r="Z37" s="79">
        <f t="shared" si="148"/>
        <v>0</v>
      </c>
      <c r="AA37" s="79">
        <f t="shared" si="148"/>
        <v>5784.87511</v>
      </c>
      <c r="AB37" s="79"/>
      <c r="AC37" s="79"/>
      <c r="AD37" s="79"/>
      <c r="AE37" s="79">
        <f t="shared" ref="AE37:AG37" si="149">M37+S37+Y37</f>
        <v>11760.91382</v>
      </c>
      <c r="AF37" s="79">
        <f t="shared" si="149"/>
        <v>0</v>
      </c>
      <c r="AG37" s="79">
        <f t="shared" si="149"/>
        <v>11760.91382</v>
      </c>
      <c r="AH37" s="79"/>
      <c r="AI37" s="79"/>
      <c r="AJ37" s="79"/>
      <c r="AK37" s="79">
        <f t="shared" ref="AK37:AM37" si="150">AK38+AK39</f>
        <v>2051.02248</v>
      </c>
      <c r="AL37" s="79">
        <f t="shared" si="150"/>
        <v>0</v>
      </c>
      <c r="AM37" s="79">
        <f t="shared" si="150"/>
        <v>2051.02248</v>
      </c>
      <c r="AN37" s="73"/>
      <c r="AO37" s="73"/>
      <c r="AP37" s="73"/>
      <c r="AQ37" s="79">
        <f t="shared" ref="AQ37:AS37" si="151">AE37+AK37</f>
        <v>13811.9363</v>
      </c>
      <c r="AR37" s="79">
        <f t="shared" si="151"/>
        <v>0</v>
      </c>
      <c r="AS37" s="79">
        <f t="shared" si="151"/>
        <v>13811.9363</v>
      </c>
      <c r="AT37" s="79"/>
      <c r="AU37" s="79"/>
      <c r="AV37" s="79"/>
      <c r="AW37" s="79">
        <f t="shared" ref="AW37:AY37" si="152">AW38+AW39</f>
        <v>4455.05043</v>
      </c>
      <c r="AX37" s="79">
        <f t="shared" si="152"/>
        <v>0</v>
      </c>
      <c r="AY37" s="79">
        <f t="shared" si="152"/>
        <v>4455.05043</v>
      </c>
      <c r="AZ37" s="79"/>
      <c r="BA37" s="79"/>
      <c r="BB37" s="79"/>
      <c r="BC37" s="79">
        <f t="shared" ref="BC37:BE37" si="153">AQ37+AW37</f>
        <v>18266.98673</v>
      </c>
      <c r="BD37" s="79">
        <f t="shared" si="153"/>
        <v>0</v>
      </c>
      <c r="BE37" s="79">
        <f t="shared" si="153"/>
        <v>18266.98673</v>
      </c>
      <c r="BF37" s="79"/>
      <c r="BG37" s="79"/>
      <c r="BH37" s="79"/>
      <c r="BI37" s="79"/>
      <c r="BJ37" s="79"/>
      <c r="BK37" s="79"/>
      <c r="BL37" s="79"/>
      <c r="BM37" s="79"/>
      <c r="BN37" s="79"/>
      <c r="BO37" s="79"/>
      <c r="BP37" s="79"/>
      <c r="BQ37" s="79"/>
      <c r="BR37" s="79"/>
      <c r="BS37" s="79"/>
      <c r="BT37" s="79"/>
      <c r="BU37" s="79"/>
      <c r="BV37" s="79"/>
      <c r="BW37" s="79"/>
      <c r="BX37" s="79"/>
      <c r="BY37" s="79"/>
      <c r="BZ37" s="79"/>
      <c r="CA37" s="79"/>
      <c r="CB37" s="79"/>
      <c r="CC37" s="79"/>
      <c r="CD37" s="79"/>
      <c r="CE37" s="79"/>
      <c r="CF37" s="79"/>
      <c r="CG37" s="79"/>
      <c r="CH37" s="79"/>
      <c r="CI37" s="79"/>
      <c r="CJ37" s="79"/>
      <c r="CK37" s="79"/>
      <c r="CL37" s="79"/>
      <c r="CM37" s="79"/>
      <c r="CN37" s="79"/>
      <c r="CO37" s="79"/>
      <c r="CP37" s="79"/>
      <c r="CQ37" s="79"/>
      <c r="CR37" s="79"/>
      <c r="CS37" s="79"/>
      <c r="CT37" s="79"/>
      <c r="CU37" s="79"/>
      <c r="CV37" s="79"/>
      <c r="CW37" s="79"/>
      <c r="CX37" s="79"/>
      <c r="CY37" s="79"/>
      <c r="CZ37" s="79"/>
      <c r="DA37" s="79"/>
      <c r="DB37" s="79"/>
      <c r="DC37" s="79"/>
      <c r="DD37" s="79"/>
      <c r="DE37" s="79"/>
      <c r="DF37" s="79"/>
      <c r="DG37" s="79"/>
      <c r="DH37" s="79"/>
      <c r="DI37" s="79"/>
      <c r="DJ37" s="79"/>
      <c r="DK37" s="79"/>
      <c r="DL37" s="79"/>
      <c r="DM37" s="79"/>
      <c r="DN37" s="79"/>
      <c r="DO37" s="79"/>
      <c r="DP37" s="79"/>
      <c r="DQ37" s="79"/>
      <c r="DR37" s="79"/>
      <c r="DS37" s="79"/>
      <c r="DT37" s="79"/>
      <c r="DU37" s="80"/>
      <c r="DV37" s="80"/>
      <c r="DW37" s="80"/>
      <c r="DX37" s="80"/>
      <c r="DY37" s="80"/>
      <c r="DZ37" s="75"/>
      <c r="EA37" s="82"/>
    </row>
    <row r="38" ht="21.75" customHeight="1">
      <c r="A38" s="64"/>
      <c r="B38" s="70"/>
      <c r="C38" s="71"/>
      <c r="D38" s="71"/>
      <c r="E38" s="71"/>
      <c r="F38" s="81" t="s">
        <v>47</v>
      </c>
      <c r="G38" s="73"/>
      <c r="H38" s="73"/>
      <c r="I38" s="73"/>
      <c r="J38" s="73"/>
      <c r="K38" s="73"/>
      <c r="L38" s="73"/>
      <c r="M38" s="73">
        <v>2624.83542</v>
      </c>
      <c r="N38" s="73">
        <v>0.0</v>
      </c>
      <c r="O38" s="73">
        <v>2624.83542</v>
      </c>
      <c r="P38" s="73"/>
      <c r="Q38" s="73"/>
      <c r="R38" s="73"/>
      <c r="S38" s="73">
        <f>T38+U38</f>
        <v>3354.32112</v>
      </c>
      <c r="T38" s="73">
        <v>0.0</v>
      </c>
      <c r="U38" s="73">
        <v>3354.32112</v>
      </c>
      <c r="V38" s="73"/>
      <c r="W38" s="73"/>
      <c r="X38" s="73"/>
      <c r="Y38" s="73">
        <v>5902.963</v>
      </c>
      <c r="Z38" s="73">
        <v>0.0</v>
      </c>
      <c r="AA38" s="73">
        <v>5902.963</v>
      </c>
      <c r="AB38" s="73"/>
      <c r="AC38" s="73"/>
      <c r="AD38" s="73"/>
      <c r="AE38" s="73">
        <f t="shared" ref="AE38:AG38" si="154">M38+S38+Y38</f>
        <v>11882.11954</v>
      </c>
      <c r="AF38" s="73">
        <f t="shared" si="154"/>
        <v>0</v>
      </c>
      <c r="AG38" s="73">
        <f t="shared" si="154"/>
        <v>11882.11954</v>
      </c>
      <c r="AH38" s="73"/>
      <c r="AI38" s="73"/>
      <c r="AJ38" s="73"/>
      <c r="AK38" s="73">
        <v>2240.61496</v>
      </c>
      <c r="AL38" s="73">
        <v>0.0</v>
      </c>
      <c r="AM38" s="73">
        <v>2240.61496</v>
      </c>
      <c r="AN38" s="73"/>
      <c r="AO38" s="73"/>
      <c r="AP38" s="73"/>
      <c r="AQ38" s="73">
        <f t="shared" ref="AQ38:AS38" si="155">AE38+AK38</f>
        <v>14122.7345</v>
      </c>
      <c r="AR38" s="73">
        <f t="shared" si="155"/>
        <v>0</v>
      </c>
      <c r="AS38" s="73">
        <f t="shared" si="155"/>
        <v>14122.7345</v>
      </c>
      <c r="AT38" s="73"/>
      <c r="AU38" s="73"/>
      <c r="AV38" s="73"/>
      <c r="AW38" s="73">
        <f t="shared" ref="AW38:AW39" si="159">AX38+AY38</f>
        <v>4576.34729</v>
      </c>
      <c r="AX38" s="73">
        <v>0.0</v>
      </c>
      <c r="AY38" s="73">
        <f>2233.77606+2342.57123</f>
        <v>4576.34729</v>
      </c>
      <c r="AZ38" s="73"/>
      <c r="BA38" s="73"/>
      <c r="BB38" s="73"/>
      <c r="BC38" s="73">
        <f t="shared" ref="BC38:BE38" si="156">AQ38+AW38</f>
        <v>18699.08179</v>
      </c>
      <c r="BD38" s="73">
        <f t="shared" si="156"/>
        <v>0</v>
      </c>
      <c r="BE38" s="73">
        <f t="shared" si="156"/>
        <v>18699.08179</v>
      </c>
      <c r="BF38" s="73"/>
      <c r="BG38" s="73"/>
      <c r="BH38" s="73"/>
      <c r="BI38" s="73"/>
      <c r="BJ38" s="73"/>
      <c r="BK38" s="73"/>
      <c r="BL38" s="73"/>
      <c r="BM38" s="73"/>
      <c r="BN38" s="73"/>
      <c r="BO38" s="73"/>
      <c r="BP38" s="73"/>
      <c r="BQ38" s="73"/>
      <c r="BR38" s="73"/>
      <c r="BS38" s="73"/>
      <c r="BT38" s="73"/>
      <c r="BU38" s="73"/>
      <c r="BV38" s="73"/>
      <c r="BW38" s="73"/>
      <c r="BX38" s="73"/>
      <c r="BY38" s="73"/>
      <c r="BZ38" s="73"/>
      <c r="CA38" s="73"/>
      <c r="CB38" s="73"/>
      <c r="CC38" s="73"/>
      <c r="CD38" s="73"/>
      <c r="CE38" s="73"/>
      <c r="CF38" s="73"/>
      <c r="CG38" s="73"/>
      <c r="CH38" s="73"/>
      <c r="CI38" s="73"/>
      <c r="CJ38" s="73"/>
      <c r="CK38" s="73"/>
      <c r="CL38" s="73"/>
      <c r="CM38" s="73"/>
      <c r="CN38" s="73"/>
      <c r="CO38" s="73"/>
      <c r="CP38" s="73"/>
      <c r="CQ38" s="73"/>
      <c r="CR38" s="73"/>
      <c r="CS38" s="73"/>
      <c r="CT38" s="73"/>
      <c r="CU38" s="73"/>
      <c r="CV38" s="73"/>
      <c r="CW38" s="73"/>
      <c r="CX38" s="73"/>
      <c r="CY38" s="73"/>
      <c r="CZ38" s="73"/>
      <c r="DA38" s="73"/>
      <c r="DB38" s="73"/>
      <c r="DC38" s="73"/>
      <c r="DD38" s="73"/>
      <c r="DE38" s="73"/>
      <c r="DF38" s="73"/>
      <c r="DG38" s="73"/>
      <c r="DH38" s="73"/>
      <c r="DI38" s="73"/>
      <c r="DJ38" s="73"/>
      <c r="DK38" s="73"/>
      <c r="DL38" s="73"/>
      <c r="DM38" s="73"/>
      <c r="DN38" s="73"/>
      <c r="DO38" s="73"/>
      <c r="DP38" s="73"/>
      <c r="DQ38" s="73"/>
      <c r="DR38" s="73"/>
      <c r="DS38" s="73"/>
      <c r="DT38" s="73"/>
      <c r="DU38" s="74"/>
      <c r="DV38" s="74"/>
      <c r="DW38" s="74"/>
      <c r="DX38" s="74"/>
      <c r="DY38" s="74"/>
      <c r="DZ38" s="75"/>
      <c r="EA38" s="76" t="s">
        <v>66</v>
      </c>
    </row>
    <row r="39" ht="21.75" customHeight="1">
      <c r="A39" s="64"/>
      <c r="B39" s="70"/>
      <c r="C39" s="71"/>
      <c r="D39" s="71"/>
      <c r="E39" s="71"/>
      <c r="F39" s="81" t="s">
        <v>50</v>
      </c>
      <c r="G39" s="73"/>
      <c r="H39" s="73"/>
      <c r="I39" s="73"/>
      <c r="J39" s="73"/>
      <c r="K39" s="73"/>
      <c r="L39" s="73"/>
      <c r="M39" s="73">
        <v>-3.11783</v>
      </c>
      <c r="N39" s="73">
        <v>0.0</v>
      </c>
      <c r="O39" s="73">
        <v>-3.11783</v>
      </c>
      <c r="P39" s="73"/>
      <c r="Q39" s="73"/>
      <c r="R39" s="73"/>
      <c r="S39" s="73">
        <v>0.0</v>
      </c>
      <c r="T39" s="73">
        <v>0.0</v>
      </c>
      <c r="U39" s="73">
        <v>0.0</v>
      </c>
      <c r="V39" s="73"/>
      <c r="W39" s="73"/>
      <c r="X39" s="73"/>
      <c r="Y39" s="73">
        <v>-118.08789</v>
      </c>
      <c r="Z39" s="73">
        <v>0.0</v>
      </c>
      <c r="AA39" s="73">
        <v>-118.08789</v>
      </c>
      <c r="AB39" s="73"/>
      <c r="AC39" s="73"/>
      <c r="AD39" s="73"/>
      <c r="AE39" s="73">
        <f t="shared" ref="AE39:AG39" si="157">M39+S39+Y39</f>
        <v>-121.20572</v>
      </c>
      <c r="AF39" s="73">
        <f t="shared" si="157"/>
        <v>0</v>
      </c>
      <c r="AG39" s="73">
        <f t="shared" si="157"/>
        <v>-121.20572</v>
      </c>
      <c r="AH39" s="73"/>
      <c r="AI39" s="73"/>
      <c r="AJ39" s="73"/>
      <c r="AK39" s="73">
        <v>-189.5924799999998</v>
      </c>
      <c r="AL39" s="73">
        <v>0.0</v>
      </c>
      <c r="AM39" s="73">
        <v>-189.5924799999998</v>
      </c>
      <c r="AN39" s="73"/>
      <c r="AO39" s="73"/>
      <c r="AP39" s="73"/>
      <c r="AQ39" s="73">
        <f t="shared" ref="AQ39:AS39" si="158">AE39+AK39</f>
        <v>-310.7982</v>
      </c>
      <c r="AR39" s="73">
        <f t="shared" si="158"/>
        <v>0</v>
      </c>
      <c r="AS39" s="73">
        <f t="shared" si="158"/>
        <v>-310.7982</v>
      </c>
      <c r="AT39" s="73"/>
      <c r="AU39" s="73"/>
      <c r="AV39" s="73"/>
      <c r="AW39" s="73">
        <f t="shared" si="159"/>
        <v>-121.29686</v>
      </c>
      <c r="AX39" s="73">
        <v>0.0</v>
      </c>
      <c r="AY39" s="73">
        <v>-121.29686</v>
      </c>
      <c r="AZ39" s="73"/>
      <c r="BA39" s="73"/>
      <c r="BB39" s="73"/>
      <c r="BC39" s="73">
        <f t="shared" ref="BC39:BE39" si="160">AQ39+AW39</f>
        <v>-432.09506</v>
      </c>
      <c r="BD39" s="73">
        <f t="shared" si="160"/>
        <v>0</v>
      </c>
      <c r="BE39" s="73">
        <f t="shared" si="160"/>
        <v>-432.09506</v>
      </c>
      <c r="BF39" s="73"/>
      <c r="BG39" s="73"/>
      <c r="BH39" s="73"/>
      <c r="BI39" s="73"/>
      <c r="BJ39" s="73"/>
      <c r="BK39" s="73"/>
      <c r="BL39" s="73"/>
      <c r="BM39" s="73"/>
      <c r="BN39" s="73"/>
      <c r="BO39" s="73"/>
      <c r="BP39" s="73"/>
      <c r="BQ39" s="73"/>
      <c r="BR39" s="73"/>
      <c r="BS39" s="73"/>
      <c r="BT39" s="73"/>
      <c r="BU39" s="73"/>
      <c r="BV39" s="73"/>
      <c r="BW39" s="73"/>
      <c r="BX39" s="73"/>
      <c r="BY39" s="73"/>
      <c r="BZ39" s="73"/>
      <c r="CA39" s="73"/>
      <c r="CB39" s="73"/>
      <c r="CC39" s="73"/>
      <c r="CD39" s="73"/>
      <c r="CE39" s="73"/>
      <c r="CF39" s="73"/>
      <c r="CG39" s="73"/>
      <c r="CH39" s="73"/>
      <c r="CI39" s="73"/>
      <c r="CJ39" s="73"/>
      <c r="CK39" s="73"/>
      <c r="CL39" s="73"/>
      <c r="CM39" s="73"/>
      <c r="CN39" s="73"/>
      <c r="CO39" s="73"/>
      <c r="CP39" s="73"/>
      <c r="CQ39" s="73"/>
      <c r="CR39" s="73"/>
      <c r="CS39" s="73"/>
      <c r="CT39" s="73"/>
      <c r="CU39" s="73"/>
      <c r="CV39" s="73"/>
      <c r="CW39" s="73"/>
      <c r="CX39" s="73"/>
      <c r="CY39" s="73"/>
      <c r="CZ39" s="73"/>
      <c r="DA39" s="73"/>
      <c r="DB39" s="73"/>
      <c r="DC39" s="73"/>
      <c r="DD39" s="73"/>
      <c r="DE39" s="73"/>
      <c r="DF39" s="73"/>
      <c r="DG39" s="73"/>
      <c r="DH39" s="73"/>
      <c r="DI39" s="73"/>
      <c r="DJ39" s="73"/>
      <c r="DK39" s="73"/>
      <c r="DL39" s="73"/>
      <c r="DM39" s="73"/>
      <c r="DN39" s="73"/>
      <c r="DO39" s="73"/>
      <c r="DP39" s="73"/>
      <c r="DQ39" s="73"/>
      <c r="DR39" s="73"/>
      <c r="DS39" s="73"/>
      <c r="DT39" s="73"/>
      <c r="DU39" s="74"/>
      <c r="DV39" s="74"/>
      <c r="DW39" s="74"/>
      <c r="DX39" s="74"/>
      <c r="DY39" s="74"/>
      <c r="DZ39" s="75"/>
      <c r="EA39" s="76"/>
    </row>
    <row r="40" ht="21.75" customHeight="1">
      <c r="A40" s="77"/>
      <c r="B40" s="44"/>
      <c r="C40" s="45"/>
      <c r="D40" s="45"/>
      <c r="E40" s="45"/>
      <c r="F40" s="78" t="s">
        <v>51</v>
      </c>
      <c r="G40" s="79"/>
      <c r="H40" s="79"/>
      <c r="I40" s="79"/>
      <c r="J40" s="79"/>
      <c r="K40" s="79"/>
      <c r="L40" s="79"/>
      <c r="M40" s="79">
        <f t="shared" ref="M40:O40" si="161">M41+M42</f>
        <v>4860.92998</v>
      </c>
      <c r="N40" s="79">
        <f t="shared" si="161"/>
        <v>0</v>
      </c>
      <c r="O40" s="79">
        <f t="shared" si="161"/>
        <v>4860.92998</v>
      </c>
      <c r="P40" s="79"/>
      <c r="Q40" s="79"/>
      <c r="R40" s="79"/>
      <c r="S40" s="79">
        <f t="shared" ref="S40:U40" si="162">S41+S42</f>
        <v>0</v>
      </c>
      <c r="T40" s="79">
        <f t="shared" si="162"/>
        <v>0</v>
      </c>
      <c r="U40" s="79">
        <f t="shared" si="162"/>
        <v>0</v>
      </c>
      <c r="V40" s="79"/>
      <c r="W40" s="79"/>
      <c r="X40" s="79"/>
      <c r="Y40" s="79">
        <f t="shared" ref="Y40:AA40" si="163">Y41+Y42</f>
        <v>3247.37833</v>
      </c>
      <c r="Z40" s="79">
        <f t="shared" si="163"/>
        <v>0</v>
      </c>
      <c r="AA40" s="79">
        <f t="shared" si="163"/>
        <v>3247.37833</v>
      </c>
      <c r="AB40" s="79"/>
      <c r="AC40" s="79"/>
      <c r="AD40" s="79"/>
      <c r="AE40" s="79">
        <f t="shared" ref="AE40:AG40" si="164">M40+S40+Y40</f>
        <v>8108.30831</v>
      </c>
      <c r="AF40" s="79">
        <f t="shared" si="164"/>
        <v>0</v>
      </c>
      <c r="AG40" s="79">
        <f t="shared" si="164"/>
        <v>8108.30831</v>
      </c>
      <c r="AH40" s="79"/>
      <c r="AI40" s="79"/>
      <c r="AJ40" s="79"/>
      <c r="AK40" s="79">
        <f t="shared" ref="AK40:AM40" si="165">AK41+AK42</f>
        <v>0</v>
      </c>
      <c r="AL40" s="79">
        <f t="shared" si="165"/>
        <v>0</v>
      </c>
      <c r="AM40" s="79">
        <f t="shared" si="165"/>
        <v>0</v>
      </c>
      <c r="AN40" s="73"/>
      <c r="AO40" s="73"/>
      <c r="AP40" s="73"/>
      <c r="AQ40" s="79">
        <f t="shared" ref="AQ40:AS40" si="166">AE40+AK40</f>
        <v>8108.30831</v>
      </c>
      <c r="AR40" s="79">
        <f t="shared" si="166"/>
        <v>0</v>
      </c>
      <c r="AS40" s="79">
        <f t="shared" si="166"/>
        <v>8108.30831</v>
      </c>
      <c r="AT40" s="79"/>
      <c r="AU40" s="79"/>
      <c r="AV40" s="79"/>
      <c r="AW40" s="79">
        <v>0.0</v>
      </c>
      <c r="AX40" s="79">
        <v>0.0</v>
      </c>
      <c r="AY40" s="79">
        <v>0.0</v>
      </c>
      <c r="AZ40" s="79"/>
      <c r="BA40" s="79"/>
      <c r="BB40" s="79"/>
      <c r="BC40" s="79">
        <f t="shared" ref="BC40:BE40" si="167">AQ40+AW40</f>
        <v>8108.30831</v>
      </c>
      <c r="BD40" s="79">
        <f t="shared" si="167"/>
        <v>0</v>
      </c>
      <c r="BE40" s="79">
        <f t="shared" si="167"/>
        <v>8108.30831</v>
      </c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79"/>
      <c r="BT40" s="79"/>
      <c r="BU40" s="79"/>
      <c r="BV40" s="79"/>
      <c r="BW40" s="79"/>
      <c r="BX40" s="79"/>
      <c r="BY40" s="79"/>
      <c r="BZ40" s="79"/>
      <c r="CA40" s="79"/>
      <c r="CB40" s="79"/>
      <c r="CC40" s="79"/>
      <c r="CD40" s="79"/>
      <c r="CE40" s="79"/>
      <c r="CF40" s="79"/>
      <c r="CG40" s="79"/>
      <c r="CH40" s="79"/>
      <c r="CI40" s="79"/>
      <c r="CJ40" s="79"/>
      <c r="CK40" s="79"/>
      <c r="CL40" s="79"/>
      <c r="CM40" s="79"/>
      <c r="CN40" s="79"/>
      <c r="CO40" s="79"/>
      <c r="CP40" s="79"/>
      <c r="CQ40" s="79"/>
      <c r="CR40" s="79"/>
      <c r="CS40" s="79"/>
      <c r="CT40" s="79"/>
      <c r="CU40" s="79"/>
      <c r="CV40" s="79"/>
      <c r="CW40" s="79"/>
      <c r="CX40" s="79"/>
      <c r="CY40" s="79"/>
      <c r="CZ40" s="79"/>
      <c r="DA40" s="79"/>
      <c r="DB40" s="79"/>
      <c r="DC40" s="79"/>
      <c r="DD40" s="79"/>
      <c r="DE40" s="79"/>
      <c r="DF40" s="79"/>
      <c r="DG40" s="79"/>
      <c r="DH40" s="79"/>
      <c r="DI40" s="79"/>
      <c r="DJ40" s="79"/>
      <c r="DK40" s="79"/>
      <c r="DL40" s="79"/>
      <c r="DM40" s="79"/>
      <c r="DN40" s="79"/>
      <c r="DO40" s="79"/>
      <c r="DP40" s="79"/>
      <c r="DQ40" s="79"/>
      <c r="DR40" s="79"/>
      <c r="DS40" s="79"/>
      <c r="DT40" s="79"/>
      <c r="DU40" s="80"/>
      <c r="DV40" s="80"/>
      <c r="DW40" s="80"/>
      <c r="DX40" s="80"/>
      <c r="DY40" s="80"/>
      <c r="DZ40" s="75"/>
      <c r="EA40" s="76"/>
    </row>
    <row r="41" ht="21.75" customHeight="1">
      <c r="A41" s="64"/>
      <c r="B41" s="70"/>
      <c r="C41" s="71"/>
      <c r="D41" s="71"/>
      <c r="E41" s="71"/>
      <c r="F41" s="81" t="s">
        <v>47</v>
      </c>
      <c r="G41" s="73"/>
      <c r="H41" s="73"/>
      <c r="I41" s="73"/>
      <c r="J41" s="73"/>
      <c r="K41" s="73"/>
      <c r="L41" s="73"/>
      <c r="M41" s="73">
        <v>0.0</v>
      </c>
      <c r="N41" s="73">
        <v>0.0</v>
      </c>
      <c r="O41" s="73">
        <v>0.0</v>
      </c>
      <c r="P41" s="73"/>
      <c r="Q41" s="73"/>
      <c r="R41" s="73"/>
      <c r="S41" s="73">
        <v>0.0</v>
      </c>
      <c r="T41" s="73">
        <v>0.0</v>
      </c>
      <c r="U41" s="73">
        <v>0.0</v>
      </c>
      <c r="V41" s="73"/>
      <c r="W41" s="73"/>
      <c r="X41" s="73"/>
      <c r="Y41" s="73">
        <f t="shared" ref="Y41:Y44" si="171">Z41+AA41</f>
        <v>111.0064</v>
      </c>
      <c r="Z41" s="73">
        <v>0.0</v>
      </c>
      <c r="AA41" s="73">
        <v>111.0064</v>
      </c>
      <c r="AB41" s="73"/>
      <c r="AC41" s="73"/>
      <c r="AD41" s="73"/>
      <c r="AE41" s="73">
        <f t="shared" ref="AE41:AG41" si="168">M41+S41+Y41</f>
        <v>111.0064</v>
      </c>
      <c r="AF41" s="73">
        <f t="shared" si="168"/>
        <v>0</v>
      </c>
      <c r="AG41" s="73">
        <f t="shared" si="168"/>
        <v>111.0064</v>
      </c>
      <c r="AH41" s="73"/>
      <c r="AI41" s="73"/>
      <c r="AJ41" s="73"/>
      <c r="AK41" s="73">
        <v>0.0</v>
      </c>
      <c r="AL41" s="73">
        <v>0.0</v>
      </c>
      <c r="AM41" s="73">
        <v>0.0</v>
      </c>
      <c r="AN41" s="73"/>
      <c r="AO41" s="73"/>
      <c r="AP41" s="73"/>
      <c r="AQ41" s="73">
        <f t="shared" ref="AQ41:AS41" si="169">AE41+AK41</f>
        <v>111.0064</v>
      </c>
      <c r="AR41" s="73">
        <f t="shared" si="169"/>
        <v>0</v>
      </c>
      <c r="AS41" s="73">
        <f t="shared" si="169"/>
        <v>111.0064</v>
      </c>
      <c r="AT41" s="73"/>
      <c r="AU41" s="73"/>
      <c r="AV41" s="73"/>
      <c r="AW41" s="73">
        <v>0.0</v>
      </c>
      <c r="AX41" s="73">
        <v>0.0</v>
      </c>
      <c r="AY41" s="73">
        <v>0.0</v>
      </c>
      <c r="AZ41" s="73"/>
      <c r="BA41" s="73"/>
      <c r="BB41" s="73"/>
      <c r="BC41" s="73">
        <f t="shared" ref="BC41:BE41" si="170">AQ41+AW41</f>
        <v>111.0064</v>
      </c>
      <c r="BD41" s="73">
        <f t="shared" si="170"/>
        <v>0</v>
      </c>
      <c r="BE41" s="73">
        <f t="shared" si="170"/>
        <v>111.0064</v>
      </c>
      <c r="BF41" s="73"/>
      <c r="BG41" s="73"/>
      <c r="BH41" s="73"/>
      <c r="BI41" s="73"/>
      <c r="BJ41" s="73"/>
      <c r="BK41" s="73"/>
      <c r="BL41" s="73"/>
      <c r="BM41" s="73"/>
      <c r="BN41" s="73"/>
      <c r="BO41" s="73"/>
      <c r="BP41" s="73"/>
      <c r="BQ41" s="73"/>
      <c r="BR41" s="73"/>
      <c r="BS41" s="73"/>
      <c r="BT41" s="73"/>
      <c r="BU41" s="73"/>
      <c r="BV41" s="73"/>
      <c r="BW41" s="73"/>
      <c r="BX41" s="73"/>
      <c r="BY41" s="73"/>
      <c r="BZ41" s="73"/>
      <c r="CA41" s="73"/>
      <c r="CB41" s="73"/>
      <c r="CC41" s="73"/>
      <c r="CD41" s="73"/>
      <c r="CE41" s="73"/>
      <c r="CF41" s="73"/>
      <c r="CG41" s="73"/>
      <c r="CH41" s="73"/>
      <c r="CI41" s="73"/>
      <c r="CJ41" s="73"/>
      <c r="CK41" s="73"/>
      <c r="CL41" s="73"/>
      <c r="CM41" s="73"/>
      <c r="CN41" s="73"/>
      <c r="CO41" s="73"/>
      <c r="CP41" s="73"/>
      <c r="CQ41" s="73"/>
      <c r="CR41" s="73"/>
      <c r="CS41" s="73"/>
      <c r="CT41" s="73"/>
      <c r="CU41" s="73"/>
      <c r="CV41" s="73"/>
      <c r="CW41" s="73"/>
      <c r="CX41" s="73"/>
      <c r="CY41" s="73"/>
      <c r="CZ41" s="73"/>
      <c r="DA41" s="73"/>
      <c r="DB41" s="73"/>
      <c r="DC41" s="73"/>
      <c r="DD41" s="73"/>
      <c r="DE41" s="73"/>
      <c r="DF41" s="73"/>
      <c r="DG41" s="73"/>
      <c r="DH41" s="73"/>
      <c r="DI41" s="73"/>
      <c r="DJ41" s="73"/>
      <c r="DK41" s="73"/>
      <c r="DL41" s="73"/>
      <c r="DM41" s="73"/>
      <c r="DN41" s="73"/>
      <c r="DO41" s="73"/>
      <c r="DP41" s="73"/>
      <c r="DQ41" s="73"/>
      <c r="DR41" s="73"/>
      <c r="DS41" s="73"/>
      <c r="DT41" s="73"/>
      <c r="DU41" s="74"/>
      <c r="DV41" s="74"/>
      <c r="DW41" s="74"/>
      <c r="DX41" s="74"/>
      <c r="DY41" s="74"/>
      <c r="DZ41" s="75"/>
      <c r="EA41" s="76"/>
    </row>
    <row r="42" ht="21.75" customHeight="1">
      <c r="A42" s="64"/>
      <c r="B42" s="70"/>
      <c r="C42" s="71"/>
      <c r="D42" s="71"/>
      <c r="E42" s="71"/>
      <c r="F42" s="81" t="s">
        <v>52</v>
      </c>
      <c r="G42" s="73"/>
      <c r="H42" s="73"/>
      <c r="I42" s="73"/>
      <c r="J42" s="73"/>
      <c r="K42" s="73"/>
      <c r="L42" s="73"/>
      <c r="M42" s="73">
        <f t="shared" ref="M42:M44" si="175">N42+O42</f>
        <v>4860.92998</v>
      </c>
      <c r="N42" s="73">
        <v>0.0</v>
      </c>
      <c r="O42" s="73">
        <v>4860.92998</v>
      </c>
      <c r="P42" s="73"/>
      <c r="Q42" s="73"/>
      <c r="R42" s="73"/>
      <c r="S42" s="73">
        <f t="shared" ref="S42:S44" si="176">T42+U42</f>
        <v>0</v>
      </c>
      <c r="T42" s="73">
        <v>0.0</v>
      </c>
      <c r="U42" s="73">
        <v>0.0</v>
      </c>
      <c r="V42" s="73"/>
      <c r="W42" s="73"/>
      <c r="X42" s="73"/>
      <c r="Y42" s="73">
        <f t="shared" si="171"/>
        <v>3136.37193</v>
      </c>
      <c r="Z42" s="73">
        <v>0.0</v>
      </c>
      <c r="AA42" s="73">
        <v>3136.37193</v>
      </c>
      <c r="AB42" s="73"/>
      <c r="AC42" s="73"/>
      <c r="AD42" s="73"/>
      <c r="AE42" s="73">
        <f t="shared" ref="AE42:AG42" si="172">M42+S42+Y42</f>
        <v>7997.30191</v>
      </c>
      <c r="AF42" s="73">
        <f t="shared" si="172"/>
        <v>0</v>
      </c>
      <c r="AG42" s="73">
        <f t="shared" si="172"/>
        <v>7997.30191</v>
      </c>
      <c r="AH42" s="73"/>
      <c r="AI42" s="73"/>
      <c r="AJ42" s="73"/>
      <c r="AK42" s="73">
        <f t="shared" ref="AK42:AK44" si="178">AL42+AM42</f>
        <v>0</v>
      </c>
      <c r="AL42" s="73">
        <v>0.0</v>
      </c>
      <c r="AM42" s="73">
        <v>0.0</v>
      </c>
      <c r="AN42" s="73"/>
      <c r="AO42" s="73"/>
      <c r="AP42" s="73"/>
      <c r="AQ42" s="73">
        <f t="shared" ref="AQ42:AS42" si="173">AE42+AK42</f>
        <v>7997.30191</v>
      </c>
      <c r="AR42" s="73">
        <f t="shared" si="173"/>
        <v>0</v>
      </c>
      <c r="AS42" s="73">
        <f t="shared" si="173"/>
        <v>7997.30191</v>
      </c>
      <c r="AT42" s="73"/>
      <c r="AU42" s="73"/>
      <c r="AV42" s="73"/>
      <c r="AW42" s="73">
        <v>0.0</v>
      </c>
      <c r="AX42" s="73">
        <v>0.0</v>
      </c>
      <c r="AY42" s="73">
        <v>0.0</v>
      </c>
      <c r="AZ42" s="73"/>
      <c r="BA42" s="73"/>
      <c r="BB42" s="73"/>
      <c r="BC42" s="73">
        <f t="shared" ref="BC42:BE42" si="174">AQ42+AW42</f>
        <v>7997.30191</v>
      </c>
      <c r="BD42" s="73">
        <f t="shared" si="174"/>
        <v>0</v>
      </c>
      <c r="BE42" s="73">
        <f t="shared" si="174"/>
        <v>7997.30191</v>
      </c>
      <c r="BF42" s="73"/>
      <c r="BG42" s="73"/>
      <c r="BH42" s="73"/>
      <c r="BI42" s="73"/>
      <c r="BJ42" s="73"/>
      <c r="BK42" s="73"/>
      <c r="BL42" s="73"/>
      <c r="BM42" s="73"/>
      <c r="BN42" s="73"/>
      <c r="BO42" s="73"/>
      <c r="BP42" s="73"/>
      <c r="BQ42" s="73"/>
      <c r="BR42" s="73"/>
      <c r="BS42" s="73"/>
      <c r="BT42" s="73"/>
      <c r="BU42" s="73"/>
      <c r="BV42" s="73"/>
      <c r="BW42" s="73"/>
      <c r="BX42" s="73"/>
      <c r="BY42" s="73"/>
      <c r="BZ42" s="73"/>
      <c r="CA42" s="73"/>
      <c r="CB42" s="73"/>
      <c r="CC42" s="73"/>
      <c r="CD42" s="73"/>
      <c r="CE42" s="73"/>
      <c r="CF42" s="73"/>
      <c r="CG42" s="73"/>
      <c r="CH42" s="73"/>
      <c r="CI42" s="73"/>
      <c r="CJ42" s="73"/>
      <c r="CK42" s="73"/>
      <c r="CL42" s="73"/>
      <c r="CM42" s="73"/>
      <c r="CN42" s="73"/>
      <c r="CO42" s="73"/>
      <c r="CP42" s="73"/>
      <c r="CQ42" s="73"/>
      <c r="CR42" s="73"/>
      <c r="CS42" s="73"/>
      <c r="CT42" s="73"/>
      <c r="CU42" s="73"/>
      <c r="CV42" s="73"/>
      <c r="CW42" s="73"/>
      <c r="CX42" s="73"/>
      <c r="CY42" s="73"/>
      <c r="CZ42" s="73"/>
      <c r="DA42" s="73"/>
      <c r="DB42" s="73"/>
      <c r="DC42" s="73"/>
      <c r="DD42" s="73"/>
      <c r="DE42" s="73"/>
      <c r="DF42" s="73"/>
      <c r="DG42" s="73"/>
      <c r="DH42" s="73"/>
      <c r="DI42" s="73"/>
      <c r="DJ42" s="73"/>
      <c r="DK42" s="73"/>
      <c r="DL42" s="73"/>
      <c r="DM42" s="73"/>
      <c r="DN42" s="73"/>
      <c r="DO42" s="73"/>
      <c r="DP42" s="73"/>
      <c r="DQ42" s="73"/>
      <c r="DR42" s="73"/>
      <c r="DS42" s="73"/>
      <c r="DT42" s="73"/>
      <c r="DU42" s="74"/>
      <c r="DV42" s="74"/>
      <c r="DW42" s="72"/>
      <c r="DX42" s="72"/>
      <c r="DY42" s="72"/>
      <c r="DZ42" s="75"/>
      <c r="EA42" s="76"/>
    </row>
    <row r="43" ht="21.75" customHeight="1">
      <c r="A43" s="64"/>
      <c r="B43" s="70"/>
      <c r="C43" s="71"/>
      <c r="D43" s="71"/>
      <c r="E43" s="71"/>
      <c r="F43" s="78" t="s">
        <v>53</v>
      </c>
      <c r="G43" s="79"/>
      <c r="H43" s="79"/>
      <c r="I43" s="79"/>
      <c r="J43" s="79"/>
      <c r="K43" s="79"/>
      <c r="L43" s="79"/>
      <c r="M43" s="79">
        <f t="shared" si="175"/>
        <v>0</v>
      </c>
      <c r="N43" s="79">
        <v>0.0</v>
      </c>
      <c r="O43" s="79">
        <v>0.0</v>
      </c>
      <c r="P43" s="79"/>
      <c r="Q43" s="79"/>
      <c r="R43" s="79"/>
      <c r="S43" s="79">
        <f t="shared" si="176"/>
        <v>2833.51902</v>
      </c>
      <c r="T43" s="79">
        <v>0.0</v>
      </c>
      <c r="U43" s="79">
        <v>2833.51902</v>
      </c>
      <c r="V43" s="79"/>
      <c r="W43" s="79"/>
      <c r="X43" s="79"/>
      <c r="Y43" s="79">
        <f t="shared" si="171"/>
        <v>225938</v>
      </c>
      <c r="Z43" s="79">
        <v>0.0</v>
      </c>
      <c r="AA43" s="79">
        <v>225938.0</v>
      </c>
      <c r="AB43" s="79"/>
      <c r="AC43" s="79"/>
      <c r="AD43" s="79"/>
      <c r="AE43" s="79">
        <f t="shared" ref="AE43:AG43" si="177">M43+S43+Y43</f>
        <v>228771.519</v>
      </c>
      <c r="AF43" s="79">
        <f t="shared" si="177"/>
        <v>0</v>
      </c>
      <c r="AG43" s="79">
        <f t="shared" si="177"/>
        <v>228771.519</v>
      </c>
      <c r="AH43" s="73"/>
      <c r="AI43" s="73"/>
      <c r="AJ43" s="73"/>
      <c r="AK43" s="79">
        <f t="shared" si="178"/>
        <v>0</v>
      </c>
      <c r="AL43" s="79">
        <v>0.0</v>
      </c>
      <c r="AM43" s="79">
        <v>0.0</v>
      </c>
      <c r="AN43" s="73"/>
      <c r="AO43" s="73"/>
      <c r="AP43" s="73"/>
      <c r="AQ43" s="79">
        <f t="shared" ref="AQ43:AS43" si="179">AE43+AK43</f>
        <v>228771.519</v>
      </c>
      <c r="AR43" s="79">
        <f t="shared" si="179"/>
        <v>0</v>
      </c>
      <c r="AS43" s="79">
        <f t="shared" si="179"/>
        <v>228771.519</v>
      </c>
      <c r="AT43" s="73"/>
      <c r="AU43" s="73"/>
      <c r="AV43" s="73"/>
      <c r="AW43" s="79">
        <v>0.0</v>
      </c>
      <c r="AX43" s="79">
        <v>0.0</v>
      </c>
      <c r="AY43" s="79">
        <v>0.0</v>
      </c>
      <c r="AZ43" s="73"/>
      <c r="BA43" s="73"/>
      <c r="BB43" s="73"/>
      <c r="BC43" s="79">
        <f t="shared" ref="BC43:BE43" si="180">AQ43+AW43</f>
        <v>228771.519</v>
      </c>
      <c r="BD43" s="79">
        <f t="shared" si="180"/>
        <v>0</v>
      </c>
      <c r="BE43" s="79">
        <f t="shared" si="180"/>
        <v>228771.519</v>
      </c>
      <c r="BF43" s="73"/>
      <c r="BG43" s="73"/>
      <c r="BH43" s="73"/>
      <c r="BI43" s="73"/>
      <c r="BJ43" s="73"/>
      <c r="BK43" s="73"/>
      <c r="BL43" s="73"/>
      <c r="BM43" s="73"/>
      <c r="BN43" s="73"/>
      <c r="BO43" s="73"/>
      <c r="BP43" s="73"/>
      <c r="BQ43" s="73"/>
      <c r="BR43" s="73"/>
      <c r="BS43" s="73"/>
      <c r="BT43" s="73"/>
      <c r="BU43" s="73"/>
      <c r="BV43" s="73"/>
      <c r="BW43" s="73"/>
      <c r="BX43" s="73"/>
      <c r="BY43" s="73"/>
      <c r="BZ43" s="73"/>
      <c r="CA43" s="73"/>
      <c r="CB43" s="73"/>
      <c r="CC43" s="73"/>
      <c r="CD43" s="73"/>
      <c r="CE43" s="73"/>
      <c r="CF43" s="73"/>
      <c r="CG43" s="73"/>
      <c r="CH43" s="73"/>
      <c r="CI43" s="73"/>
      <c r="CJ43" s="73"/>
      <c r="CK43" s="73"/>
      <c r="CL43" s="73"/>
      <c r="CM43" s="73"/>
      <c r="CN43" s="73"/>
      <c r="CO43" s="73"/>
      <c r="CP43" s="73"/>
      <c r="CQ43" s="73"/>
      <c r="CR43" s="73"/>
      <c r="CS43" s="73"/>
      <c r="CT43" s="73"/>
      <c r="CU43" s="73"/>
      <c r="CV43" s="73"/>
      <c r="CW43" s="73"/>
      <c r="CX43" s="73"/>
      <c r="CY43" s="73"/>
      <c r="CZ43" s="73"/>
      <c r="DA43" s="73"/>
      <c r="DB43" s="73"/>
      <c r="DC43" s="73"/>
      <c r="DD43" s="73"/>
      <c r="DE43" s="73"/>
      <c r="DF43" s="73"/>
      <c r="DG43" s="73"/>
      <c r="DH43" s="73"/>
      <c r="DI43" s="73"/>
      <c r="DJ43" s="73"/>
      <c r="DK43" s="73"/>
      <c r="DL43" s="73"/>
      <c r="DM43" s="73"/>
      <c r="DN43" s="73"/>
      <c r="DO43" s="73"/>
      <c r="DP43" s="73"/>
      <c r="DQ43" s="73"/>
      <c r="DR43" s="73"/>
      <c r="DS43" s="73"/>
      <c r="DT43" s="73"/>
      <c r="DU43" s="74"/>
      <c r="DV43" s="74"/>
      <c r="DW43" s="72"/>
      <c r="DX43" s="72"/>
      <c r="DY43" s="72"/>
      <c r="DZ43" s="72"/>
      <c r="EA43" s="76" t="s">
        <v>67</v>
      </c>
    </row>
    <row r="44" ht="21.75" customHeight="1">
      <c r="A44" s="64"/>
      <c r="B44" s="92"/>
      <c r="C44" s="72"/>
      <c r="D44" s="71"/>
      <c r="E44" s="71"/>
      <c r="F44" s="78" t="s">
        <v>55</v>
      </c>
      <c r="G44" s="79"/>
      <c r="H44" s="79"/>
      <c r="I44" s="79"/>
      <c r="J44" s="79"/>
      <c r="K44" s="79"/>
      <c r="L44" s="79"/>
      <c r="M44" s="79">
        <f t="shared" si="175"/>
        <v>0</v>
      </c>
      <c r="N44" s="79">
        <v>0.0</v>
      </c>
      <c r="O44" s="79">
        <v>0.0</v>
      </c>
      <c r="P44" s="79"/>
      <c r="Q44" s="79"/>
      <c r="R44" s="79"/>
      <c r="S44" s="79">
        <f t="shared" si="176"/>
        <v>0</v>
      </c>
      <c r="T44" s="79">
        <v>0.0</v>
      </c>
      <c r="U44" s="79">
        <v>0.0</v>
      </c>
      <c r="V44" s="79"/>
      <c r="W44" s="79"/>
      <c r="X44" s="79"/>
      <c r="Y44" s="79">
        <f t="shared" si="171"/>
        <v>0</v>
      </c>
      <c r="Z44" s="79">
        <v>0.0</v>
      </c>
      <c r="AA44" s="79">
        <v>0.0</v>
      </c>
      <c r="AB44" s="79"/>
      <c r="AC44" s="79"/>
      <c r="AD44" s="79"/>
      <c r="AE44" s="79">
        <f t="shared" ref="AE44:AG44" si="181">M44+S44+Y44</f>
        <v>0</v>
      </c>
      <c r="AF44" s="79">
        <f t="shared" si="181"/>
        <v>0</v>
      </c>
      <c r="AG44" s="79">
        <f t="shared" si="181"/>
        <v>0</v>
      </c>
      <c r="AH44" s="73"/>
      <c r="AI44" s="73"/>
      <c r="AJ44" s="73"/>
      <c r="AK44" s="79">
        <f t="shared" si="178"/>
        <v>0</v>
      </c>
      <c r="AL44" s="79">
        <v>0.0</v>
      </c>
      <c r="AM44" s="79">
        <v>0.0</v>
      </c>
      <c r="AN44" s="73"/>
      <c r="AO44" s="73"/>
      <c r="AP44" s="73"/>
      <c r="AQ44" s="79">
        <f t="shared" ref="AQ44:AS44" si="182">AE44+AK44</f>
        <v>0</v>
      </c>
      <c r="AR44" s="79">
        <f t="shared" si="182"/>
        <v>0</v>
      </c>
      <c r="AS44" s="79">
        <f t="shared" si="182"/>
        <v>0</v>
      </c>
      <c r="AT44" s="73"/>
      <c r="AU44" s="73"/>
      <c r="AV44" s="73"/>
      <c r="AW44" s="79">
        <v>5894.51986</v>
      </c>
      <c r="AX44" s="79">
        <v>0.0</v>
      </c>
      <c r="AY44" s="79">
        <v>5894.51986</v>
      </c>
      <c r="AZ44" s="73"/>
      <c r="BA44" s="73"/>
      <c r="BB44" s="73"/>
      <c r="BC44" s="79">
        <f t="shared" ref="BC44:BE44" si="183">AQ44+AW44</f>
        <v>5894.51986</v>
      </c>
      <c r="BD44" s="79">
        <f t="shared" si="183"/>
        <v>0</v>
      </c>
      <c r="BE44" s="79">
        <f t="shared" si="183"/>
        <v>5894.51986</v>
      </c>
      <c r="BF44" s="73"/>
      <c r="BG44" s="73"/>
      <c r="BH44" s="73"/>
      <c r="BI44" s="73"/>
      <c r="BJ44" s="73"/>
      <c r="BK44" s="73"/>
      <c r="BL44" s="73"/>
      <c r="BM44" s="73"/>
      <c r="BN44" s="73"/>
      <c r="BO44" s="73"/>
      <c r="BP44" s="73"/>
      <c r="BQ44" s="73"/>
      <c r="BR44" s="73"/>
      <c r="BS44" s="73"/>
      <c r="BT44" s="73"/>
      <c r="BU44" s="73"/>
      <c r="BV44" s="73"/>
      <c r="BW44" s="73"/>
      <c r="BX44" s="73"/>
      <c r="BY44" s="73"/>
      <c r="BZ44" s="73"/>
      <c r="CA44" s="73"/>
      <c r="CB44" s="73"/>
      <c r="CC44" s="73"/>
      <c r="CD44" s="73"/>
      <c r="CE44" s="73"/>
      <c r="CF44" s="73"/>
      <c r="CG44" s="73"/>
      <c r="CH44" s="73"/>
      <c r="CI44" s="73"/>
      <c r="CJ44" s="73"/>
      <c r="CK44" s="73"/>
      <c r="CL44" s="73"/>
      <c r="CM44" s="73"/>
      <c r="CN44" s="73"/>
      <c r="CO44" s="73"/>
      <c r="CP44" s="73"/>
      <c r="CQ44" s="73"/>
      <c r="CR44" s="73"/>
      <c r="CS44" s="73"/>
      <c r="CT44" s="73"/>
      <c r="CU44" s="73"/>
      <c r="CV44" s="73"/>
      <c r="CW44" s="73"/>
      <c r="CX44" s="73"/>
      <c r="CY44" s="73"/>
      <c r="CZ44" s="73"/>
      <c r="DA44" s="73"/>
      <c r="DB44" s="73"/>
      <c r="DC44" s="73"/>
      <c r="DD44" s="73"/>
      <c r="DE44" s="73"/>
      <c r="DF44" s="73"/>
      <c r="DG44" s="73"/>
      <c r="DH44" s="73"/>
      <c r="DI44" s="73"/>
      <c r="DJ44" s="73"/>
      <c r="DK44" s="73"/>
      <c r="DL44" s="73"/>
      <c r="DM44" s="73"/>
      <c r="DN44" s="73"/>
      <c r="DO44" s="73"/>
      <c r="DP44" s="73"/>
      <c r="DQ44" s="73"/>
      <c r="DR44" s="73"/>
      <c r="DS44" s="73"/>
      <c r="DT44" s="73"/>
      <c r="DU44" s="74"/>
      <c r="DV44" s="74"/>
      <c r="DW44" s="72"/>
      <c r="DX44" s="72"/>
      <c r="DY44" s="72"/>
      <c r="DZ44" s="75"/>
      <c r="EA44" s="76" t="s">
        <v>68</v>
      </c>
    </row>
    <row r="45" ht="21.75" customHeight="1">
      <c r="A45" s="64"/>
      <c r="B45" s="70" t="s">
        <v>40</v>
      </c>
      <c r="C45" s="71" t="s">
        <v>69</v>
      </c>
      <c r="D45" s="71" t="s">
        <v>41</v>
      </c>
      <c r="E45" s="71" t="s">
        <v>58</v>
      </c>
      <c r="F45" s="72" t="s">
        <v>70</v>
      </c>
      <c r="G45" s="73">
        <v>1509382.0</v>
      </c>
      <c r="H45" s="73">
        <v>0.0</v>
      </c>
      <c r="I45" s="73">
        <v>1509382.0</v>
      </c>
      <c r="J45" s="73">
        <f t="shared" ref="J45:L45" si="184">J46+J48+J50</f>
        <v>0</v>
      </c>
      <c r="K45" s="73">
        <f t="shared" si="184"/>
        <v>0</v>
      </c>
      <c r="L45" s="73">
        <f t="shared" si="184"/>
        <v>0</v>
      </c>
      <c r="M45" s="73">
        <f t="shared" ref="M45:O45" si="185">M46+M48+M50+M54+M55</f>
        <v>13776.72134</v>
      </c>
      <c r="N45" s="73">
        <f t="shared" si="185"/>
        <v>0</v>
      </c>
      <c r="O45" s="73">
        <f t="shared" si="185"/>
        <v>13776.72134</v>
      </c>
      <c r="P45" s="73">
        <f t="shared" ref="P45:R45" si="186">P46+P48+P50</f>
        <v>0</v>
      </c>
      <c r="Q45" s="73">
        <f t="shared" si="186"/>
        <v>0</v>
      </c>
      <c r="R45" s="73">
        <f t="shared" si="186"/>
        <v>0</v>
      </c>
      <c r="S45" s="73">
        <f t="shared" ref="S45:U45" si="187">S46+S48+S50+S54+S55</f>
        <v>14312.07079</v>
      </c>
      <c r="T45" s="73">
        <f t="shared" si="187"/>
        <v>0</v>
      </c>
      <c r="U45" s="73">
        <f t="shared" si="187"/>
        <v>14312.07079</v>
      </c>
      <c r="V45" s="73">
        <v>1918.0</v>
      </c>
      <c r="W45" s="73">
        <f>W46+W48+W50</f>
        <v>0</v>
      </c>
      <c r="X45" s="73">
        <v>1918.0</v>
      </c>
      <c r="Y45" s="73">
        <f t="shared" ref="Y45:AA45" si="188">Y46+Y48+Y50+Y54+Y55</f>
        <v>1252.4768</v>
      </c>
      <c r="Z45" s="73">
        <f t="shared" si="188"/>
        <v>0</v>
      </c>
      <c r="AA45" s="73">
        <f t="shared" si="188"/>
        <v>1252.4768</v>
      </c>
      <c r="AB45" s="73">
        <f t="shared" ref="AB45:AG45" si="189">J45+P45+V45</f>
        <v>1918</v>
      </c>
      <c r="AC45" s="73">
        <f t="shared" si="189"/>
        <v>0</v>
      </c>
      <c r="AD45" s="73">
        <f t="shared" si="189"/>
        <v>1918</v>
      </c>
      <c r="AE45" s="73">
        <f t="shared" si="189"/>
        <v>29341.26893</v>
      </c>
      <c r="AF45" s="73">
        <f t="shared" si="189"/>
        <v>0</v>
      </c>
      <c r="AG45" s="73">
        <f t="shared" si="189"/>
        <v>29341.26893</v>
      </c>
      <c r="AH45" s="73">
        <v>6503.0</v>
      </c>
      <c r="AI45" s="73">
        <v>0.0</v>
      </c>
      <c r="AJ45" s="73">
        <v>6503.0</v>
      </c>
      <c r="AK45" s="73">
        <f t="shared" ref="AK45:AM45" si="190">AK46+AK48+AK50+AK54+AK55</f>
        <v>2322.3663</v>
      </c>
      <c r="AL45" s="73">
        <f t="shared" si="190"/>
        <v>0</v>
      </c>
      <c r="AM45" s="73">
        <f t="shared" si="190"/>
        <v>2322.3663</v>
      </c>
      <c r="AN45" s="73">
        <f t="shared" ref="AN45:AS45" si="191">AB45+AH45</f>
        <v>8421</v>
      </c>
      <c r="AO45" s="73">
        <f t="shared" si="191"/>
        <v>0</v>
      </c>
      <c r="AP45" s="73">
        <f t="shared" si="191"/>
        <v>8421</v>
      </c>
      <c r="AQ45" s="73">
        <f t="shared" si="191"/>
        <v>31663.63523</v>
      </c>
      <c r="AR45" s="73">
        <f t="shared" si="191"/>
        <v>0</v>
      </c>
      <c r="AS45" s="73">
        <f t="shared" si="191"/>
        <v>31663.63523</v>
      </c>
      <c r="AT45" s="73">
        <v>9754.0</v>
      </c>
      <c r="AU45" s="73">
        <v>0.0</v>
      </c>
      <c r="AV45" s="73">
        <v>9754.0</v>
      </c>
      <c r="AW45" s="73">
        <f t="shared" ref="AW45:AY45" si="192">AW46+AW48+AW50+AW54+AW55</f>
        <v>1037.73621</v>
      </c>
      <c r="AX45" s="73">
        <f t="shared" si="192"/>
        <v>0</v>
      </c>
      <c r="AY45" s="73">
        <f t="shared" si="192"/>
        <v>1037.73621</v>
      </c>
      <c r="AZ45" s="73">
        <f t="shared" ref="AZ45:BE45" si="193">AN45+AT45</f>
        <v>18175</v>
      </c>
      <c r="BA45" s="73">
        <f t="shared" si="193"/>
        <v>0</v>
      </c>
      <c r="BB45" s="73">
        <f t="shared" si="193"/>
        <v>18175</v>
      </c>
      <c r="BC45" s="73">
        <f t="shared" si="193"/>
        <v>32701.37144</v>
      </c>
      <c r="BD45" s="73">
        <f t="shared" si="193"/>
        <v>0</v>
      </c>
      <c r="BE45" s="73">
        <f t="shared" si="193"/>
        <v>32701.37144</v>
      </c>
      <c r="BF45" s="73" t="str">
        <f t="shared" ref="BF45:DY45" si="194">BF51+#REF!+BF54+BF55</f>
        <v>#REF!</v>
      </c>
      <c r="BG45" s="73" t="str">
        <f t="shared" si="194"/>
        <v>#REF!</v>
      </c>
      <c r="BH45" s="73" t="str">
        <f t="shared" si="194"/>
        <v>#REF!</v>
      </c>
      <c r="BI45" s="73" t="str">
        <f t="shared" si="194"/>
        <v>#REF!</v>
      </c>
      <c r="BJ45" s="73" t="str">
        <f t="shared" si="194"/>
        <v>#REF!</v>
      </c>
      <c r="BK45" s="73" t="str">
        <f t="shared" si="194"/>
        <v>#REF!</v>
      </c>
      <c r="BL45" s="73" t="str">
        <f t="shared" si="194"/>
        <v>#REF!</v>
      </c>
      <c r="BM45" s="73" t="str">
        <f t="shared" si="194"/>
        <v>#REF!</v>
      </c>
      <c r="BN45" s="73" t="str">
        <f t="shared" si="194"/>
        <v>#REF!</v>
      </c>
      <c r="BO45" s="73" t="str">
        <f t="shared" si="194"/>
        <v>#REF!</v>
      </c>
      <c r="BP45" s="73" t="str">
        <f t="shared" si="194"/>
        <v>#REF!</v>
      </c>
      <c r="BQ45" s="73" t="str">
        <f t="shared" si="194"/>
        <v>#REF!</v>
      </c>
      <c r="BR45" s="73" t="str">
        <f t="shared" si="194"/>
        <v>#REF!</v>
      </c>
      <c r="BS45" s="73" t="str">
        <f t="shared" si="194"/>
        <v>#REF!</v>
      </c>
      <c r="BT45" s="73" t="str">
        <f t="shared" si="194"/>
        <v>#REF!</v>
      </c>
      <c r="BU45" s="73" t="str">
        <f t="shared" si="194"/>
        <v>#REF!</v>
      </c>
      <c r="BV45" s="73" t="str">
        <f t="shared" si="194"/>
        <v>#REF!</v>
      </c>
      <c r="BW45" s="73" t="str">
        <f t="shared" si="194"/>
        <v>#REF!</v>
      </c>
      <c r="BX45" s="73" t="str">
        <f t="shared" si="194"/>
        <v>#REF!</v>
      </c>
      <c r="BY45" s="73" t="str">
        <f t="shared" si="194"/>
        <v>#REF!</v>
      </c>
      <c r="BZ45" s="73" t="str">
        <f t="shared" si="194"/>
        <v>#REF!</v>
      </c>
      <c r="CA45" s="73" t="str">
        <f t="shared" si="194"/>
        <v>#REF!</v>
      </c>
      <c r="CB45" s="73" t="str">
        <f t="shared" si="194"/>
        <v>#REF!</v>
      </c>
      <c r="CC45" s="73" t="str">
        <f t="shared" si="194"/>
        <v>#REF!</v>
      </c>
      <c r="CD45" s="73" t="str">
        <f t="shared" si="194"/>
        <v>#REF!</v>
      </c>
      <c r="CE45" s="73" t="str">
        <f t="shared" si="194"/>
        <v>#REF!</v>
      </c>
      <c r="CF45" s="73" t="str">
        <f t="shared" si="194"/>
        <v>#REF!</v>
      </c>
      <c r="CG45" s="73" t="str">
        <f t="shared" si="194"/>
        <v>#REF!</v>
      </c>
      <c r="CH45" s="73" t="str">
        <f t="shared" si="194"/>
        <v>#REF!</v>
      </c>
      <c r="CI45" s="73" t="str">
        <f t="shared" si="194"/>
        <v>#REF!</v>
      </c>
      <c r="CJ45" s="73" t="str">
        <f t="shared" si="194"/>
        <v>#REF!</v>
      </c>
      <c r="CK45" s="73" t="str">
        <f t="shared" si="194"/>
        <v>#REF!</v>
      </c>
      <c r="CL45" s="73" t="str">
        <f t="shared" si="194"/>
        <v>#REF!</v>
      </c>
      <c r="CM45" s="73" t="str">
        <f t="shared" si="194"/>
        <v>#REF!</v>
      </c>
      <c r="CN45" s="73" t="str">
        <f t="shared" si="194"/>
        <v>#REF!</v>
      </c>
      <c r="CO45" s="73" t="str">
        <f t="shared" si="194"/>
        <v>#REF!</v>
      </c>
      <c r="CP45" s="73" t="str">
        <f t="shared" si="194"/>
        <v>#REF!</v>
      </c>
      <c r="CQ45" s="73" t="str">
        <f t="shared" si="194"/>
        <v>#REF!</v>
      </c>
      <c r="CR45" s="73" t="str">
        <f t="shared" si="194"/>
        <v>#REF!</v>
      </c>
      <c r="CS45" s="73" t="str">
        <f t="shared" si="194"/>
        <v>#REF!</v>
      </c>
      <c r="CT45" s="73" t="str">
        <f t="shared" si="194"/>
        <v>#REF!</v>
      </c>
      <c r="CU45" s="73" t="str">
        <f t="shared" si="194"/>
        <v>#REF!</v>
      </c>
      <c r="CV45" s="73" t="str">
        <f t="shared" si="194"/>
        <v>#REF!</v>
      </c>
      <c r="CW45" s="73" t="str">
        <f t="shared" si="194"/>
        <v>#REF!</v>
      </c>
      <c r="CX45" s="73" t="str">
        <f t="shared" si="194"/>
        <v>#REF!</v>
      </c>
      <c r="CY45" s="73" t="str">
        <f t="shared" si="194"/>
        <v>#REF!</v>
      </c>
      <c r="CZ45" s="73" t="str">
        <f t="shared" si="194"/>
        <v>#REF!</v>
      </c>
      <c r="DA45" s="73" t="str">
        <f t="shared" si="194"/>
        <v>#REF!</v>
      </c>
      <c r="DB45" s="73" t="str">
        <f t="shared" si="194"/>
        <v>#REF!</v>
      </c>
      <c r="DC45" s="73" t="str">
        <f t="shared" si="194"/>
        <v>#REF!</v>
      </c>
      <c r="DD45" s="73" t="str">
        <f t="shared" si="194"/>
        <v>#REF!</v>
      </c>
      <c r="DE45" s="73" t="str">
        <f t="shared" si="194"/>
        <v>#REF!</v>
      </c>
      <c r="DF45" s="73" t="str">
        <f t="shared" si="194"/>
        <v>#REF!</v>
      </c>
      <c r="DG45" s="73" t="str">
        <f t="shared" si="194"/>
        <v>#REF!</v>
      </c>
      <c r="DH45" s="73" t="str">
        <f t="shared" si="194"/>
        <v>#REF!</v>
      </c>
      <c r="DI45" s="73" t="str">
        <f t="shared" si="194"/>
        <v>#REF!</v>
      </c>
      <c r="DJ45" s="73" t="str">
        <f t="shared" si="194"/>
        <v>#REF!</v>
      </c>
      <c r="DK45" s="73" t="str">
        <f t="shared" si="194"/>
        <v>#REF!</v>
      </c>
      <c r="DL45" s="73" t="str">
        <f t="shared" si="194"/>
        <v>#REF!</v>
      </c>
      <c r="DM45" s="73" t="str">
        <f t="shared" si="194"/>
        <v>#REF!</v>
      </c>
      <c r="DN45" s="73" t="str">
        <f t="shared" si="194"/>
        <v>#REF!</v>
      </c>
      <c r="DO45" s="73" t="str">
        <f t="shared" si="194"/>
        <v>#REF!</v>
      </c>
      <c r="DP45" s="73" t="str">
        <f t="shared" si="194"/>
        <v>#REF!</v>
      </c>
      <c r="DQ45" s="73" t="str">
        <f t="shared" si="194"/>
        <v>#REF!</v>
      </c>
      <c r="DR45" s="73" t="str">
        <f t="shared" si="194"/>
        <v>#REF!</v>
      </c>
      <c r="DS45" s="73" t="str">
        <f t="shared" si="194"/>
        <v>#REF!</v>
      </c>
      <c r="DT45" s="73" t="str">
        <f t="shared" si="194"/>
        <v>#REF!</v>
      </c>
      <c r="DU45" s="74" t="str">
        <f t="shared" si="194"/>
        <v>#REF!</v>
      </c>
      <c r="DV45" s="74" t="str">
        <f t="shared" si="194"/>
        <v>#REF!</v>
      </c>
      <c r="DW45" s="74" t="str">
        <f t="shared" si="194"/>
        <v>#REF!</v>
      </c>
      <c r="DX45" s="74" t="str">
        <f t="shared" si="194"/>
        <v>#REF!</v>
      </c>
      <c r="DY45" s="74" t="str">
        <f t="shared" si="194"/>
        <v>#REF!</v>
      </c>
      <c r="DZ45" s="74"/>
      <c r="EA45" s="76"/>
    </row>
    <row r="46" ht="21.75" customHeight="1">
      <c r="A46" s="64"/>
      <c r="B46" s="70"/>
      <c r="C46" s="71"/>
      <c r="D46" s="71"/>
      <c r="E46" s="71"/>
      <c r="F46" s="78" t="s">
        <v>46</v>
      </c>
      <c r="G46" s="73"/>
      <c r="H46" s="73"/>
      <c r="I46" s="73"/>
      <c r="J46" s="73"/>
      <c r="K46" s="73"/>
      <c r="L46" s="73"/>
      <c r="M46" s="79">
        <f t="shared" ref="M46:O46" si="195">M47</f>
        <v>1588.64328</v>
      </c>
      <c r="N46" s="79">
        <f t="shared" si="195"/>
        <v>0</v>
      </c>
      <c r="O46" s="79">
        <f t="shared" si="195"/>
        <v>1588.64328</v>
      </c>
      <c r="P46" s="79"/>
      <c r="Q46" s="79"/>
      <c r="R46" s="79"/>
      <c r="S46" s="79">
        <f t="shared" ref="S46:U46" si="196">S47</f>
        <v>0</v>
      </c>
      <c r="T46" s="79">
        <f t="shared" si="196"/>
        <v>0</v>
      </c>
      <c r="U46" s="79">
        <f t="shared" si="196"/>
        <v>0</v>
      </c>
      <c r="V46" s="79"/>
      <c r="W46" s="79"/>
      <c r="X46" s="79"/>
      <c r="Y46" s="79">
        <f t="shared" ref="Y46:AA46" si="197">Y47</f>
        <v>0</v>
      </c>
      <c r="Z46" s="79">
        <f t="shared" si="197"/>
        <v>0</v>
      </c>
      <c r="AA46" s="79">
        <f t="shared" si="197"/>
        <v>0</v>
      </c>
      <c r="AB46" s="79"/>
      <c r="AC46" s="79"/>
      <c r="AD46" s="79"/>
      <c r="AE46" s="79">
        <f t="shared" ref="AE46:AG46" si="198">M46+S46+Y46</f>
        <v>1588.64328</v>
      </c>
      <c r="AF46" s="79">
        <f t="shared" si="198"/>
        <v>0</v>
      </c>
      <c r="AG46" s="79">
        <f t="shared" si="198"/>
        <v>1588.64328</v>
      </c>
      <c r="AH46" s="79"/>
      <c r="AI46" s="73"/>
      <c r="AJ46" s="73"/>
      <c r="AK46" s="79">
        <f t="shared" ref="AK46:AM46" si="199">AK47</f>
        <v>0</v>
      </c>
      <c r="AL46" s="79">
        <f t="shared" si="199"/>
        <v>0</v>
      </c>
      <c r="AM46" s="79">
        <f t="shared" si="199"/>
        <v>0</v>
      </c>
      <c r="AN46" s="73"/>
      <c r="AO46" s="73"/>
      <c r="AP46" s="73"/>
      <c r="AQ46" s="79">
        <f t="shared" ref="AQ46:AS46" si="200">AE46+AK46</f>
        <v>1588.64328</v>
      </c>
      <c r="AR46" s="79">
        <f t="shared" si="200"/>
        <v>0</v>
      </c>
      <c r="AS46" s="79">
        <f t="shared" si="200"/>
        <v>1588.64328</v>
      </c>
      <c r="AT46" s="73"/>
      <c r="AU46" s="73"/>
      <c r="AV46" s="73"/>
      <c r="AW46" s="79">
        <v>0.0</v>
      </c>
      <c r="AX46" s="79">
        <v>0.0</v>
      </c>
      <c r="AY46" s="79">
        <v>0.0</v>
      </c>
      <c r="AZ46" s="73"/>
      <c r="BA46" s="73"/>
      <c r="BB46" s="73"/>
      <c r="BC46" s="79">
        <f t="shared" ref="BC46:BE46" si="201">AQ46+AW46</f>
        <v>1588.64328</v>
      </c>
      <c r="BD46" s="79">
        <f t="shared" si="201"/>
        <v>0</v>
      </c>
      <c r="BE46" s="79">
        <f t="shared" si="201"/>
        <v>1588.64328</v>
      </c>
      <c r="BF46" s="73"/>
      <c r="BG46" s="73"/>
      <c r="BH46" s="73"/>
      <c r="BI46" s="73"/>
      <c r="BJ46" s="73"/>
      <c r="BK46" s="73"/>
      <c r="BL46" s="73"/>
      <c r="BM46" s="73"/>
      <c r="BN46" s="73"/>
      <c r="BO46" s="73"/>
      <c r="BP46" s="73"/>
      <c r="BQ46" s="73"/>
      <c r="BR46" s="73"/>
      <c r="BS46" s="73"/>
      <c r="BT46" s="73"/>
      <c r="BU46" s="73"/>
      <c r="BV46" s="73"/>
      <c r="BW46" s="73"/>
      <c r="BX46" s="73"/>
      <c r="BY46" s="73"/>
      <c r="BZ46" s="73"/>
      <c r="CA46" s="73"/>
      <c r="CB46" s="73"/>
      <c r="CC46" s="73"/>
      <c r="CD46" s="73"/>
      <c r="CE46" s="73"/>
      <c r="CF46" s="73"/>
      <c r="CG46" s="73"/>
      <c r="CH46" s="73"/>
      <c r="CI46" s="73"/>
      <c r="CJ46" s="73"/>
      <c r="CK46" s="73"/>
      <c r="CL46" s="73"/>
      <c r="CM46" s="73"/>
      <c r="CN46" s="73"/>
      <c r="CO46" s="73"/>
      <c r="CP46" s="73"/>
      <c r="CQ46" s="73"/>
      <c r="CR46" s="73"/>
      <c r="CS46" s="73"/>
      <c r="CT46" s="73"/>
      <c r="CU46" s="73"/>
      <c r="CV46" s="73"/>
      <c r="CW46" s="73"/>
      <c r="CX46" s="73"/>
      <c r="CY46" s="73"/>
      <c r="CZ46" s="73"/>
      <c r="DA46" s="73"/>
      <c r="DB46" s="73"/>
      <c r="DC46" s="73"/>
      <c r="DD46" s="73"/>
      <c r="DE46" s="73"/>
      <c r="DF46" s="73"/>
      <c r="DG46" s="73"/>
      <c r="DH46" s="73"/>
      <c r="DI46" s="73"/>
      <c r="DJ46" s="73"/>
      <c r="DK46" s="73"/>
      <c r="DL46" s="73"/>
      <c r="DM46" s="73"/>
      <c r="DN46" s="73"/>
      <c r="DO46" s="73"/>
      <c r="DP46" s="73"/>
      <c r="DQ46" s="73"/>
      <c r="DR46" s="73"/>
      <c r="DS46" s="73"/>
      <c r="DT46" s="73"/>
      <c r="DU46" s="74"/>
      <c r="DV46" s="74"/>
      <c r="DW46" s="74"/>
      <c r="DX46" s="74"/>
      <c r="DY46" s="74"/>
      <c r="DZ46" s="74"/>
      <c r="EA46" s="82"/>
    </row>
    <row r="47" ht="21.75" customHeight="1">
      <c r="A47" s="64"/>
      <c r="B47" s="70"/>
      <c r="C47" s="71"/>
      <c r="D47" s="71"/>
      <c r="E47" s="71"/>
      <c r="F47" s="81" t="s">
        <v>47</v>
      </c>
      <c r="G47" s="73"/>
      <c r="H47" s="73"/>
      <c r="I47" s="73"/>
      <c r="J47" s="73"/>
      <c r="K47" s="73"/>
      <c r="L47" s="73"/>
      <c r="M47" s="73">
        <f>N47+O47</f>
        <v>1588.64328</v>
      </c>
      <c r="N47" s="73">
        <v>0.0</v>
      </c>
      <c r="O47" s="73">
        <v>1588.64328</v>
      </c>
      <c r="P47" s="73"/>
      <c r="Q47" s="73"/>
      <c r="R47" s="73"/>
      <c r="S47" s="73">
        <f>T47+U47</f>
        <v>0</v>
      </c>
      <c r="T47" s="73">
        <v>0.0</v>
      </c>
      <c r="U47" s="73">
        <v>0.0</v>
      </c>
      <c r="V47" s="73"/>
      <c r="W47" s="73"/>
      <c r="X47" s="73"/>
      <c r="Y47" s="73">
        <f>Z47+AA47</f>
        <v>0</v>
      </c>
      <c r="Z47" s="73">
        <v>0.0</v>
      </c>
      <c r="AA47" s="73">
        <v>0.0</v>
      </c>
      <c r="AB47" s="73"/>
      <c r="AC47" s="73"/>
      <c r="AD47" s="73"/>
      <c r="AE47" s="73">
        <f t="shared" ref="AE47:AG47" si="202">M47+S47+Y47</f>
        <v>1588.64328</v>
      </c>
      <c r="AF47" s="73">
        <f t="shared" si="202"/>
        <v>0</v>
      </c>
      <c r="AG47" s="73">
        <f t="shared" si="202"/>
        <v>1588.64328</v>
      </c>
      <c r="AH47" s="73"/>
      <c r="AI47" s="73"/>
      <c r="AJ47" s="73"/>
      <c r="AK47" s="73">
        <v>0.0</v>
      </c>
      <c r="AL47" s="73">
        <v>0.0</v>
      </c>
      <c r="AM47" s="73">
        <v>0.0</v>
      </c>
      <c r="AN47" s="73"/>
      <c r="AO47" s="73"/>
      <c r="AP47" s="73"/>
      <c r="AQ47" s="73">
        <f t="shared" ref="AQ47:AS47" si="203">AE47+AK47</f>
        <v>1588.64328</v>
      </c>
      <c r="AR47" s="73">
        <f t="shared" si="203"/>
        <v>0</v>
      </c>
      <c r="AS47" s="73">
        <f t="shared" si="203"/>
        <v>1588.64328</v>
      </c>
      <c r="AT47" s="73"/>
      <c r="AU47" s="73"/>
      <c r="AV47" s="73"/>
      <c r="AW47" s="73">
        <v>0.0</v>
      </c>
      <c r="AX47" s="73">
        <v>0.0</v>
      </c>
      <c r="AY47" s="73">
        <v>0.0</v>
      </c>
      <c r="AZ47" s="73"/>
      <c r="BA47" s="73"/>
      <c r="BB47" s="73"/>
      <c r="BC47" s="73">
        <f t="shared" ref="BC47:BE47" si="204">AQ47+AW47</f>
        <v>1588.64328</v>
      </c>
      <c r="BD47" s="73">
        <f t="shared" si="204"/>
        <v>0</v>
      </c>
      <c r="BE47" s="73">
        <f t="shared" si="204"/>
        <v>1588.64328</v>
      </c>
      <c r="BF47" s="73"/>
      <c r="BG47" s="73"/>
      <c r="BH47" s="73"/>
      <c r="BI47" s="73"/>
      <c r="BJ47" s="73"/>
      <c r="BK47" s="73"/>
      <c r="BL47" s="73"/>
      <c r="BM47" s="73"/>
      <c r="BN47" s="73"/>
      <c r="BO47" s="73"/>
      <c r="BP47" s="73"/>
      <c r="BQ47" s="73"/>
      <c r="BR47" s="73"/>
      <c r="BS47" s="73"/>
      <c r="BT47" s="73"/>
      <c r="BU47" s="73"/>
      <c r="BV47" s="73"/>
      <c r="BW47" s="73"/>
      <c r="BX47" s="73"/>
      <c r="BY47" s="73"/>
      <c r="BZ47" s="73"/>
      <c r="CA47" s="73"/>
      <c r="CB47" s="73"/>
      <c r="CC47" s="73"/>
      <c r="CD47" s="73"/>
      <c r="CE47" s="73"/>
      <c r="CF47" s="73"/>
      <c r="CG47" s="73"/>
      <c r="CH47" s="73"/>
      <c r="CI47" s="73"/>
      <c r="CJ47" s="73"/>
      <c r="CK47" s="73"/>
      <c r="CL47" s="73"/>
      <c r="CM47" s="73"/>
      <c r="CN47" s="73"/>
      <c r="CO47" s="73"/>
      <c r="CP47" s="73"/>
      <c r="CQ47" s="73"/>
      <c r="CR47" s="73"/>
      <c r="CS47" s="73"/>
      <c r="CT47" s="73"/>
      <c r="CU47" s="73"/>
      <c r="CV47" s="73"/>
      <c r="CW47" s="73"/>
      <c r="CX47" s="73"/>
      <c r="CY47" s="73"/>
      <c r="CZ47" s="73"/>
      <c r="DA47" s="73"/>
      <c r="DB47" s="73"/>
      <c r="DC47" s="73"/>
      <c r="DD47" s="73"/>
      <c r="DE47" s="73"/>
      <c r="DF47" s="73"/>
      <c r="DG47" s="73"/>
      <c r="DH47" s="73"/>
      <c r="DI47" s="73"/>
      <c r="DJ47" s="73"/>
      <c r="DK47" s="73"/>
      <c r="DL47" s="73"/>
      <c r="DM47" s="73"/>
      <c r="DN47" s="73"/>
      <c r="DO47" s="73"/>
      <c r="DP47" s="73"/>
      <c r="DQ47" s="73"/>
      <c r="DR47" s="73"/>
      <c r="DS47" s="73"/>
      <c r="DT47" s="73"/>
      <c r="DU47" s="74"/>
      <c r="DV47" s="74"/>
      <c r="DW47" s="74"/>
      <c r="DX47" s="74"/>
      <c r="DY47" s="74"/>
      <c r="DZ47" s="74"/>
      <c r="EA47" s="82"/>
    </row>
    <row r="48" ht="21.75" customHeight="1">
      <c r="A48" s="64"/>
      <c r="B48" s="70"/>
      <c r="C48" s="71"/>
      <c r="D48" s="71"/>
      <c r="E48" s="71"/>
      <c r="F48" s="78" t="s">
        <v>48</v>
      </c>
      <c r="G48" s="73"/>
      <c r="H48" s="73"/>
      <c r="I48" s="73"/>
      <c r="J48" s="73"/>
      <c r="K48" s="73"/>
      <c r="L48" s="73"/>
      <c r="M48" s="79">
        <f t="shared" ref="M48:O48" si="205">M49</f>
        <v>1503.74734</v>
      </c>
      <c r="N48" s="79">
        <f t="shared" si="205"/>
        <v>0</v>
      </c>
      <c r="O48" s="79">
        <f t="shared" si="205"/>
        <v>1503.74734</v>
      </c>
      <c r="P48" s="73"/>
      <c r="Q48" s="73"/>
      <c r="R48" s="73"/>
      <c r="S48" s="79">
        <f t="shared" ref="S48:U48" si="206">S49</f>
        <v>299.40509</v>
      </c>
      <c r="T48" s="79">
        <f t="shared" si="206"/>
        <v>0</v>
      </c>
      <c r="U48" s="79">
        <f t="shared" si="206"/>
        <v>299.40509</v>
      </c>
      <c r="V48" s="73"/>
      <c r="W48" s="73"/>
      <c r="X48" s="73"/>
      <c r="Y48" s="79">
        <f t="shared" ref="Y48:AA48" si="207">Y49</f>
        <v>854.5946</v>
      </c>
      <c r="Z48" s="79">
        <f t="shared" si="207"/>
        <v>0</v>
      </c>
      <c r="AA48" s="79">
        <f t="shared" si="207"/>
        <v>854.5946</v>
      </c>
      <c r="AB48" s="73"/>
      <c r="AC48" s="73"/>
      <c r="AD48" s="73"/>
      <c r="AE48" s="79">
        <f t="shared" ref="AE48:AG48" si="208">M48+S48+Y48</f>
        <v>2657.74703</v>
      </c>
      <c r="AF48" s="79">
        <f t="shared" si="208"/>
        <v>0</v>
      </c>
      <c r="AG48" s="79">
        <f t="shared" si="208"/>
        <v>2657.74703</v>
      </c>
      <c r="AH48" s="73"/>
      <c r="AI48" s="73"/>
      <c r="AJ48" s="73"/>
      <c r="AK48" s="79">
        <f t="shared" ref="AK48:AM48" si="209">AK49</f>
        <v>1899.6163</v>
      </c>
      <c r="AL48" s="79">
        <f t="shared" si="209"/>
        <v>0</v>
      </c>
      <c r="AM48" s="79">
        <f t="shared" si="209"/>
        <v>1899.6163</v>
      </c>
      <c r="AN48" s="73"/>
      <c r="AO48" s="73"/>
      <c r="AP48" s="73"/>
      <c r="AQ48" s="79">
        <f t="shared" ref="AQ48:AS48" si="210">AE48+AK48</f>
        <v>4557.36333</v>
      </c>
      <c r="AR48" s="79">
        <f t="shared" si="210"/>
        <v>0</v>
      </c>
      <c r="AS48" s="79">
        <f t="shared" si="210"/>
        <v>4557.36333</v>
      </c>
      <c r="AT48" s="73"/>
      <c r="AU48" s="73"/>
      <c r="AV48" s="73"/>
      <c r="AW48" s="79">
        <f t="shared" ref="AW48:AY48" si="211">AW49</f>
        <v>1037.73621</v>
      </c>
      <c r="AX48" s="79">
        <f t="shared" si="211"/>
        <v>0</v>
      </c>
      <c r="AY48" s="79">
        <f t="shared" si="211"/>
        <v>1037.73621</v>
      </c>
      <c r="AZ48" s="73"/>
      <c r="BA48" s="73"/>
      <c r="BB48" s="73"/>
      <c r="BC48" s="79">
        <f t="shared" ref="BC48:BE48" si="212">AQ48+AW48</f>
        <v>5595.09954</v>
      </c>
      <c r="BD48" s="79">
        <f t="shared" si="212"/>
        <v>0</v>
      </c>
      <c r="BE48" s="79">
        <f t="shared" si="212"/>
        <v>5595.09954</v>
      </c>
      <c r="BF48" s="73"/>
      <c r="BG48" s="73"/>
      <c r="BH48" s="73"/>
      <c r="BI48" s="73"/>
      <c r="BJ48" s="73"/>
      <c r="BK48" s="73"/>
      <c r="BL48" s="73"/>
      <c r="BM48" s="73"/>
      <c r="BN48" s="73"/>
      <c r="BO48" s="73"/>
      <c r="BP48" s="73"/>
      <c r="BQ48" s="73"/>
      <c r="BR48" s="73"/>
      <c r="BS48" s="73"/>
      <c r="BT48" s="73"/>
      <c r="BU48" s="73"/>
      <c r="BV48" s="73"/>
      <c r="BW48" s="73"/>
      <c r="BX48" s="73"/>
      <c r="BY48" s="73"/>
      <c r="BZ48" s="73"/>
      <c r="CA48" s="73"/>
      <c r="CB48" s="73"/>
      <c r="CC48" s="73"/>
      <c r="CD48" s="73"/>
      <c r="CE48" s="73"/>
      <c r="CF48" s="73"/>
      <c r="CG48" s="73"/>
      <c r="CH48" s="73"/>
      <c r="CI48" s="73"/>
      <c r="CJ48" s="73"/>
      <c r="CK48" s="73"/>
      <c r="CL48" s="73"/>
      <c r="CM48" s="73"/>
      <c r="CN48" s="73"/>
      <c r="CO48" s="73"/>
      <c r="CP48" s="73"/>
      <c r="CQ48" s="73"/>
      <c r="CR48" s="73"/>
      <c r="CS48" s="73"/>
      <c r="CT48" s="73"/>
      <c r="CU48" s="73"/>
      <c r="CV48" s="73"/>
      <c r="CW48" s="73"/>
      <c r="CX48" s="73"/>
      <c r="CY48" s="73"/>
      <c r="CZ48" s="73"/>
      <c r="DA48" s="73"/>
      <c r="DB48" s="73"/>
      <c r="DC48" s="73"/>
      <c r="DD48" s="73"/>
      <c r="DE48" s="73"/>
      <c r="DF48" s="73"/>
      <c r="DG48" s="73"/>
      <c r="DH48" s="73"/>
      <c r="DI48" s="73"/>
      <c r="DJ48" s="73"/>
      <c r="DK48" s="73"/>
      <c r="DL48" s="73"/>
      <c r="DM48" s="73"/>
      <c r="DN48" s="73"/>
      <c r="DO48" s="73"/>
      <c r="DP48" s="73"/>
      <c r="DQ48" s="73"/>
      <c r="DR48" s="73"/>
      <c r="DS48" s="73"/>
      <c r="DT48" s="73"/>
      <c r="DU48" s="74"/>
      <c r="DV48" s="74"/>
      <c r="DW48" s="74"/>
      <c r="DX48" s="74"/>
      <c r="DY48" s="74"/>
      <c r="DZ48" s="74"/>
      <c r="EA48" s="82"/>
    </row>
    <row r="49" ht="21.75" customHeight="1">
      <c r="A49" s="64"/>
      <c r="B49" s="70"/>
      <c r="C49" s="71"/>
      <c r="D49" s="71"/>
      <c r="E49" s="71"/>
      <c r="F49" s="81" t="s">
        <v>47</v>
      </c>
      <c r="G49" s="73"/>
      <c r="H49" s="73"/>
      <c r="I49" s="73"/>
      <c r="J49" s="73"/>
      <c r="K49" s="73"/>
      <c r="L49" s="73"/>
      <c r="M49" s="73">
        <f>N49+O49</f>
        <v>1503.74734</v>
      </c>
      <c r="N49" s="73">
        <v>0.0</v>
      </c>
      <c r="O49" s="73">
        <v>1503.74734</v>
      </c>
      <c r="P49" s="73"/>
      <c r="Q49" s="73"/>
      <c r="R49" s="73"/>
      <c r="S49" s="73">
        <f>T49+U49</f>
        <v>299.40509</v>
      </c>
      <c r="T49" s="73">
        <v>0.0</v>
      </c>
      <c r="U49" s="73">
        <v>299.40509</v>
      </c>
      <c r="V49" s="73"/>
      <c r="W49" s="73"/>
      <c r="X49" s="73"/>
      <c r="Y49" s="73">
        <f>Z49+AA49</f>
        <v>854.5946</v>
      </c>
      <c r="Z49" s="73">
        <v>0.0</v>
      </c>
      <c r="AA49" s="73">
        <v>854.5946</v>
      </c>
      <c r="AB49" s="73"/>
      <c r="AC49" s="73"/>
      <c r="AD49" s="73"/>
      <c r="AE49" s="73">
        <f t="shared" ref="AE49:AG49" si="213">M49+S49+Y49</f>
        <v>2657.74703</v>
      </c>
      <c r="AF49" s="73">
        <f t="shared" si="213"/>
        <v>0</v>
      </c>
      <c r="AG49" s="73">
        <f t="shared" si="213"/>
        <v>2657.74703</v>
      </c>
      <c r="AH49" s="73"/>
      <c r="AI49" s="73"/>
      <c r="AJ49" s="73"/>
      <c r="AK49" s="73">
        <f>AL49+AM49</f>
        <v>1899.6163</v>
      </c>
      <c r="AL49" s="73">
        <v>0.0</v>
      </c>
      <c r="AM49" s="73">
        <f>1504.08374+395.53256</f>
        <v>1899.6163</v>
      </c>
      <c r="AN49" s="73"/>
      <c r="AO49" s="73"/>
      <c r="AP49" s="73"/>
      <c r="AQ49" s="73">
        <f t="shared" ref="AQ49:AS49" si="214">AE49+AK49</f>
        <v>4557.36333</v>
      </c>
      <c r="AR49" s="73">
        <f t="shared" si="214"/>
        <v>0</v>
      </c>
      <c r="AS49" s="73">
        <f t="shared" si="214"/>
        <v>4557.36333</v>
      </c>
      <c r="AT49" s="73"/>
      <c r="AU49" s="73"/>
      <c r="AV49" s="73"/>
      <c r="AW49" s="73">
        <f>129.41864+1076.17914-167.86157</f>
        <v>1037.73621</v>
      </c>
      <c r="AX49" s="73">
        <v>0.0</v>
      </c>
      <c r="AY49" s="73">
        <f>129.41864+1076.17914-167.86157</f>
        <v>1037.73621</v>
      </c>
      <c r="AZ49" s="73"/>
      <c r="BA49" s="73"/>
      <c r="BB49" s="73"/>
      <c r="BC49" s="73">
        <f t="shared" ref="BC49:BE49" si="215">AQ49+AW49</f>
        <v>5595.09954</v>
      </c>
      <c r="BD49" s="73">
        <f t="shared" si="215"/>
        <v>0</v>
      </c>
      <c r="BE49" s="73">
        <f t="shared" si="215"/>
        <v>5595.09954</v>
      </c>
      <c r="BF49" s="73"/>
      <c r="BG49" s="73"/>
      <c r="BH49" s="73"/>
      <c r="BI49" s="73"/>
      <c r="BJ49" s="73"/>
      <c r="BK49" s="73"/>
      <c r="BL49" s="73"/>
      <c r="BM49" s="73"/>
      <c r="BN49" s="73"/>
      <c r="BO49" s="73"/>
      <c r="BP49" s="73"/>
      <c r="BQ49" s="73"/>
      <c r="BR49" s="73"/>
      <c r="BS49" s="73"/>
      <c r="BT49" s="73"/>
      <c r="BU49" s="73"/>
      <c r="BV49" s="73"/>
      <c r="BW49" s="73"/>
      <c r="BX49" s="73"/>
      <c r="BY49" s="73"/>
      <c r="BZ49" s="73"/>
      <c r="CA49" s="73"/>
      <c r="CB49" s="73"/>
      <c r="CC49" s="73"/>
      <c r="CD49" s="73"/>
      <c r="CE49" s="73"/>
      <c r="CF49" s="73"/>
      <c r="CG49" s="73"/>
      <c r="CH49" s="73"/>
      <c r="CI49" s="73"/>
      <c r="CJ49" s="73"/>
      <c r="CK49" s="73"/>
      <c r="CL49" s="73"/>
      <c r="CM49" s="73"/>
      <c r="CN49" s="73"/>
      <c r="CO49" s="73"/>
      <c r="CP49" s="73"/>
      <c r="CQ49" s="73"/>
      <c r="CR49" s="73"/>
      <c r="CS49" s="73"/>
      <c r="CT49" s="73"/>
      <c r="CU49" s="73"/>
      <c r="CV49" s="73"/>
      <c r="CW49" s="73"/>
      <c r="CX49" s="73"/>
      <c r="CY49" s="73"/>
      <c r="CZ49" s="73"/>
      <c r="DA49" s="73"/>
      <c r="DB49" s="73"/>
      <c r="DC49" s="73"/>
      <c r="DD49" s="73"/>
      <c r="DE49" s="73"/>
      <c r="DF49" s="73"/>
      <c r="DG49" s="73"/>
      <c r="DH49" s="73"/>
      <c r="DI49" s="73"/>
      <c r="DJ49" s="73"/>
      <c r="DK49" s="73"/>
      <c r="DL49" s="73"/>
      <c r="DM49" s="73"/>
      <c r="DN49" s="73"/>
      <c r="DO49" s="73"/>
      <c r="DP49" s="73"/>
      <c r="DQ49" s="73"/>
      <c r="DR49" s="73"/>
      <c r="DS49" s="73"/>
      <c r="DT49" s="73"/>
      <c r="DU49" s="74"/>
      <c r="DV49" s="74"/>
      <c r="DW49" s="74"/>
      <c r="DX49" s="74"/>
      <c r="DY49" s="74"/>
      <c r="DZ49" s="74"/>
      <c r="EA49" s="76" t="s">
        <v>71</v>
      </c>
    </row>
    <row r="50" ht="21.75" customHeight="1">
      <c r="A50" s="64"/>
      <c r="B50" s="70"/>
      <c r="C50" s="71"/>
      <c r="D50" s="71"/>
      <c r="E50" s="71"/>
      <c r="F50" s="78" t="s">
        <v>51</v>
      </c>
      <c r="G50" s="73"/>
      <c r="H50" s="73"/>
      <c r="I50" s="73"/>
      <c r="J50" s="73"/>
      <c r="K50" s="73"/>
      <c r="L50" s="73"/>
      <c r="M50" s="79">
        <f t="shared" ref="M50:O50" si="216">M51+M52+M53</f>
        <v>10684.33072</v>
      </c>
      <c r="N50" s="79">
        <f t="shared" si="216"/>
        <v>0</v>
      </c>
      <c r="O50" s="79">
        <f t="shared" si="216"/>
        <v>10684.33072</v>
      </c>
      <c r="P50" s="73"/>
      <c r="Q50" s="73"/>
      <c r="R50" s="73"/>
      <c r="S50" s="79">
        <f t="shared" ref="S50:U50" si="217">S51+S52+S53</f>
        <v>14012.6657</v>
      </c>
      <c r="T50" s="79">
        <f t="shared" si="217"/>
        <v>0</v>
      </c>
      <c r="U50" s="79">
        <f t="shared" si="217"/>
        <v>14012.6657</v>
      </c>
      <c r="V50" s="73"/>
      <c r="W50" s="73"/>
      <c r="X50" s="73"/>
      <c r="Y50" s="93">
        <f t="shared" ref="Y50:AA50" si="218">Y51+Y52+Y53</f>
        <v>397.8822</v>
      </c>
      <c r="Z50" s="93">
        <f t="shared" si="218"/>
        <v>0</v>
      </c>
      <c r="AA50" s="93">
        <f t="shared" si="218"/>
        <v>397.8822</v>
      </c>
      <c r="AB50" s="73"/>
      <c r="AC50" s="73"/>
      <c r="AD50" s="73"/>
      <c r="AE50" s="79">
        <f t="shared" ref="AE50:AG50" si="219">M50+S50+Y50</f>
        <v>25094.87862</v>
      </c>
      <c r="AF50" s="79">
        <f t="shared" si="219"/>
        <v>0</v>
      </c>
      <c r="AG50" s="79">
        <f t="shared" si="219"/>
        <v>25094.87862</v>
      </c>
      <c r="AH50" s="73"/>
      <c r="AI50" s="73"/>
      <c r="AJ50" s="73"/>
      <c r="AK50" s="79">
        <f t="shared" ref="AK50:AM50" si="220">AK51+AK52+AK53</f>
        <v>422.75</v>
      </c>
      <c r="AL50" s="79">
        <f t="shared" si="220"/>
        <v>0</v>
      </c>
      <c r="AM50" s="79">
        <f t="shared" si="220"/>
        <v>422.75</v>
      </c>
      <c r="AN50" s="73"/>
      <c r="AO50" s="73"/>
      <c r="AP50" s="73"/>
      <c r="AQ50" s="79">
        <f t="shared" ref="AQ50:AS50" si="221">AE50+AK50</f>
        <v>25517.62862</v>
      </c>
      <c r="AR50" s="79">
        <f t="shared" si="221"/>
        <v>0</v>
      </c>
      <c r="AS50" s="79">
        <f t="shared" si="221"/>
        <v>25517.62862</v>
      </c>
      <c r="AT50" s="73"/>
      <c r="AU50" s="73"/>
      <c r="AV50" s="73"/>
      <c r="AW50" s="79">
        <f t="shared" ref="AW50:AY50" si="222">AW51+AW52+AW53</f>
        <v>0</v>
      </c>
      <c r="AX50" s="79">
        <f t="shared" si="222"/>
        <v>0</v>
      </c>
      <c r="AY50" s="79">
        <f t="shared" si="222"/>
        <v>0</v>
      </c>
      <c r="AZ50" s="73"/>
      <c r="BA50" s="73"/>
      <c r="BB50" s="73"/>
      <c r="BC50" s="79">
        <f t="shared" ref="BC50:BE50" si="223">AQ50+AW50</f>
        <v>25517.62862</v>
      </c>
      <c r="BD50" s="79">
        <f t="shared" si="223"/>
        <v>0</v>
      </c>
      <c r="BE50" s="79">
        <f t="shared" si="223"/>
        <v>25517.62862</v>
      </c>
      <c r="BF50" s="73"/>
      <c r="BG50" s="73"/>
      <c r="BH50" s="73"/>
      <c r="BI50" s="73"/>
      <c r="BJ50" s="73"/>
      <c r="BK50" s="73"/>
      <c r="BL50" s="73"/>
      <c r="BM50" s="73"/>
      <c r="BN50" s="73"/>
      <c r="BO50" s="73"/>
      <c r="BP50" s="73"/>
      <c r="BQ50" s="73"/>
      <c r="BR50" s="73"/>
      <c r="BS50" s="73"/>
      <c r="BT50" s="73"/>
      <c r="BU50" s="73"/>
      <c r="BV50" s="73"/>
      <c r="BW50" s="73"/>
      <c r="BX50" s="73"/>
      <c r="BY50" s="73"/>
      <c r="BZ50" s="73"/>
      <c r="CA50" s="73"/>
      <c r="CB50" s="73"/>
      <c r="CC50" s="73"/>
      <c r="CD50" s="73"/>
      <c r="CE50" s="73"/>
      <c r="CF50" s="73"/>
      <c r="CG50" s="73"/>
      <c r="CH50" s="73"/>
      <c r="CI50" s="73"/>
      <c r="CJ50" s="73"/>
      <c r="CK50" s="73"/>
      <c r="CL50" s="73"/>
      <c r="CM50" s="73"/>
      <c r="CN50" s="73"/>
      <c r="CO50" s="73"/>
      <c r="CP50" s="73"/>
      <c r="CQ50" s="73"/>
      <c r="CR50" s="73"/>
      <c r="CS50" s="73"/>
      <c r="CT50" s="73"/>
      <c r="CU50" s="73"/>
      <c r="CV50" s="73"/>
      <c r="CW50" s="73"/>
      <c r="CX50" s="73"/>
      <c r="CY50" s="73"/>
      <c r="CZ50" s="73"/>
      <c r="DA50" s="73"/>
      <c r="DB50" s="73"/>
      <c r="DC50" s="73"/>
      <c r="DD50" s="73"/>
      <c r="DE50" s="73"/>
      <c r="DF50" s="73"/>
      <c r="DG50" s="73"/>
      <c r="DH50" s="73"/>
      <c r="DI50" s="73"/>
      <c r="DJ50" s="73"/>
      <c r="DK50" s="73"/>
      <c r="DL50" s="73"/>
      <c r="DM50" s="73"/>
      <c r="DN50" s="73"/>
      <c r="DO50" s="73"/>
      <c r="DP50" s="73"/>
      <c r="DQ50" s="73"/>
      <c r="DR50" s="73"/>
      <c r="DS50" s="73"/>
      <c r="DT50" s="73"/>
      <c r="DU50" s="74"/>
      <c r="DV50" s="74"/>
      <c r="DW50" s="74"/>
      <c r="DX50" s="74"/>
      <c r="DY50" s="74"/>
      <c r="DZ50" s="74"/>
      <c r="EA50" s="76"/>
    </row>
    <row r="51" ht="21.75" customHeight="1">
      <c r="A51" s="64"/>
      <c r="B51" s="70"/>
      <c r="C51" s="71"/>
      <c r="D51" s="71"/>
      <c r="E51" s="71"/>
      <c r="F51" s="81" t="s">
        <v>47</v>
      </c>
      <c r="G51" s="73"/>
      <c r="H51" s="73"/>
      <c r="I51" s="73"/>
      <c r="J51" s="73"/>
      <c r="K51" s="73"/>
      <c r="L51" s="73"/>
      <c r="M51" s="73">
        <v>0.0</v>
      </c>
      <c r="N51" s="73">
        <v>0.0</v>
      </c>
      <c r="O51" s="73">
        <v>0.0</v>
      </c>
      <c r="P51" s="73"/>
      <c r="Q51" s="73"/>
      <c r="R51" s="73"/>
      <c r="S51" s="73">
        <v>0.0</v>
      </c>
      <c r="T51" s="73">
        <v>0.0</v>
      </c>
      <c r="U51" s="73">
        <v>0.0</v>
      </c>
      <c r="V51" s="73"/>
      <c r="W51" s="73"/>
      <c r="X51" s="73"/>
      <c r="Y51" s="94">
        <v>0.0</v>
      </c>
      <c r="Z51" s="94">
        <v>0.0</v>
      </c>
      <c r="AA51" s="94">
        <v>0.0</v>
      </c>
      <c r="AB51" s="73"/>
      <c r="AC51" s="73"/>
      <c r="AD51" s="73"/>
      <c r="AE51" s="73">
        <f t="shared" ref="AE51:AG51" si="224">M51+S51+Y51</f>
        <v>0</v>
      </c>
      <c r="AF51" s="73">
        <f t="shared" si="224"/>
        <v>0</v>
      </c>
      <c r="AG51" s="73">
        <f t="shared" si="224"/>
        <v>0</v>
      </c>
      <c r="AH51" s="73"/>
      <c r="AI51" s="73"/>
      <c r="AJ51" s="73"/>
      <c r="AK51" s="73">
        <v>0.0</v>
      </c>
      <c r="AL51" s="73">
        <v>0.0</v>
      </c>
      <c r="AM51" s="73">
        <v>0.0</v>
      </c>
      <c r="AN51" s="73"/>
      <c r="AO51" s="73"/>
      <c r="AP51" s="73"/>
      <c r="AQ51" s="73">
        <f t="shared" ref="AQ51:AS51" si="225">AE51+AK51</f>
        <v>0</v>
      </c>
      <c r="AR51" s="73">
        <f t="shared" si="225"/>
        <v>0</v>
      </c>
      <c r="AS51" s="73">
        <f t="shared" si="225"/>
        <v>0</v>
      </c>
      <c r="AT51" s="73"/>
      <c r="AU51" s="73"/>
      <c r="AV51" s="73"/>
      <c r="AW51" s="73">
        <v>0.0</v>
      </c>
      <c r="AX51" s="73">
        <v>0.0</v>
      </c>
      <c r="AY51" s="73">
        <v>0.0</v>
      </c>
      <c r="AZ51" s="73"/>
      <c r="BA51" s="73"/>
      <c r="BB51" s="73"/>
      <c r="BC51" s="73">
        <f t="shared" ref="BC51:BE51" si="226">AQ51+AW51</f>
        <v>0</v>
      </c>
      <c r="BD51" s="73">
        <f t="shared" si="226"/>
        <v>0</v>
      </c>
      <c r="BE51" s="73">
        <f t="shared" si="226"/>
        <v>0</v>
      </c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BU51" s="73"/>
      <c r="BV51" s="73"/>
      <c r="BW51" s="73"/>
      <c r="BX51" s="73"/>
      <c r="BY51" s="73"/>
      <c r="BZ51" s="73"/>
      <c r="CA51" s="73"/>
      <c r="CB51" s="73"/>
      <c r="CC51" s="73"/>
      <c r="CD51" s="73"/>
      <c r="CE51" s="73"/>
      <c r="CF51" s="73"/>
      <c r="CG51" s="73"/>
      <c r="CH51" s="73"/>
      <c r="CI51" s="73"/>
      <c r="CJ51" s="73"/>
      <c r="CK51" s="73"/>
      <c r="CL51" s="73"/>
      <c r="CM51" s="73"/>
      <c r="CN51" s="73"/>
      <c r="CO51" s="73"/>
      <c r="CP51" s="73"/>
      <c r="CQ51" s="73"/>
      <c r="CR51" s="73"/>
      <c r="CS51" s="73"/>
      <c r="CT51" s="73"/>
      <c r="CU51" s="73"/>
      <c r="CV51" s="73"/>
      <c r="CW51" s="73"/>
      <c r="CX51" s="73"/>
      <c r="CY51" s="73"/>
      <c r="CZ51" s="73"/>
      <c r="DA51" s="73"/>
      <c r="DB51" s="73"/>
      <c r="DC51" s="73"/>
      <c r="DD51" s="73"/>
      <c r="DE51" s="73"/>
      <c r="DF51" s="73"/>
      <c r="DG51" s="73"/>
      <c r="DH51" s="73"/>
      <c r="DI51" s="73"/>
      <c r="DJ51" s="73"/>
      <c r="DK51" s="73"/>
      <c r="DL51" s="73"/>
      <c r="DM51" s="73"/>
      <c r="DN51" s="73"/>
      <c r="DO51" s="73"/>
      <c r="DP51" s="73"/>
      <c r="DQ51" s="73"/>
      <c r="DR51" s="73"/>
      <c r="DS51" s="73"/>
      <c r="DT51" s="73"/>
      <c r="DU51" s="74"/>
      <c r="DV51" s="74"/>
      <c r="DW51" s="72"/>
      <c r="DX51" s="72"/>
      <c r="DY51" s="72"/>
      <c r="DZ51" s="75"/>
      <c r="EA51" s="91"/>
    </row>
    <row r="52" ht="21.75" customHeight="1">
      <c r="A52" s="64"/>
      <c r="B52" s="70"/>
      <c r="C52" s="71"/>
      <c r="D52" s="71"/>
      <c r="E52" s="71"/>
      <c r="F52" s="81" t="s">
        <v>52</v>
      </c>
      <c r="G52" s="73"/>
      <c r="H52" s="73"/>
      <c r="I52" s="73"/>
      <c r="J52" s="73"/>
      <c r="K52" s="73"/>
      <c r="L52" s="73"/>
      <c r="M52" s="73">
        <f>N52+O52</f>
        <v>10684.33072</v>
      </c>
      <c r="N52" s="73">
        <v>0.0</v>
      </c>
      <c r="O52" s="73">
        <v>10684.33072</v>
      </c>
      <c r="P52" s="73"/>
      <c r="Q52" s="73"/>
      <c r="R52" s="73"/>
      <c r="S52" s="73">
        <f>T52+U52</f>
        <v>14012.6657</v>
      </c>
      <c r="T52" s="73">
        <v>0.0</v>
      </c>
      <c r="U52" s="73">
        <v>14012.6657</v>
      </c>
      <c r="V52" s="73"/>
      <c r="W52" s="73"/>
      <c r="X52" s="73"/>
      <c r="Y52" s="94">
        <f>Z52+AA52</f>
        <v>773.6</v>
      </c>
      <c r="Z52" s="94">
        <v>0.0</v>
      </c>
      <c r="AA52" s="94">
        <f>462.2+311.4</f>
        <v>773.6</v>
      </c>
      <c r="AB52" s="73"/>
      <c r="AC52" s="73"/>
      <c r="AD52" s="73"/>
      <c r="AE52" s="73">
        <f t="shared" ref="AE52:AG52" si="227">M52+S52+Y52</f>
        <v>25470.59642</v>
      </c>
      <c r="AF52" s="73">
        <f t="shared" si="227"/>
        <v>0</v>
      </c>
      <c r="AG52" s="73">
        <f t="shared" si="227"/>
        <v>25470.59642</v>
      </c>
      <c r="AH52" s="73"/>
      <c r="AI52" s="73"/>
      <c r="AJ52" s="73"/>
      <c r="AK52" s="73">
        <f>AL52+AM52</f>
        <v>422.75</v>
      </c>
      <c r="AL52" s="73">
        <v>0.0</v>
      </c>
      <c r="AM52" s="73">
        <v>422.75</v>
      </c>
      <c r="AN52" s="73"/>
      <c r="AO52" s="73"/>
      <c r="AP52" s="73"/>
      <c r="AQ52" s="73">
        <f t="shared" ref="AQ52:AS52" si="228">AE52+AK52</f>
        <v>25893.34642</v>
      </c>
      <c r="AR52" s="73">
        <f t="shared" si="228"/>
        <v>0</v>
      </c>
      <c r="AS52" s="73">
        <f t="shared" si="228"/>
        <v>25893.34642</v>
      </c>
      <c r="AT52" s="73"/>
      <c r="AU52" s="73"/>
      <c r="AV52" s="73"/>
      <c r="AW52" s="73">
        <v>0.0</v>
      </c>
      <c r="AX52" s="73">
        <v>0.0</v>
      </c>
      <c r="AY52" s="73">
        <v>0.0</v>
      </c>
      <c r="AZ52" s="73"/>
      <c r="BA52" s="73"/>
      <c r="BB52" s="73"/>
      <c r="BC52" s="73">
        <f t="shared" ref="BC52:BE52" si="229">AQ52+AW52</f>
        <v>25893.34642</v>
      </c>
      <c r="BD52" s="73">
        <f t="shared" si="229"/>
        <v>0</v>
      </c>
      <c r="BE52" s="73">
        <f t="shared" si="229"/>
        <v>25893.34642</v>
      </c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BU52" s="73"/>
      <c r="BV52" s="73"/>
      <c r="BW52" s="73"/>
      <c r="BX52" s="73"/>
      <c r="BY52" s="73"/>
      <c r="BZ52" s="73"/>
      <c r="CA52" s="73"/>
      <c r="CB52" s="73"/>
      <c r="CC52" s="73"/>
      <c r="CD52" s="73"/>
      <c r="CE52" s="73"/>
      <c r="CF52" s="73"/>
      <c r="CG52" s="73"/>
      <c r="CH52" s="73"/>
      <c r="CI52" s="73"/>
      <c r="CJ52" s="73"/>
      <c r="CK52" s="73"/>
      <c r="CL52" s="73"/>
      <c r="CM52" s="73"/>
      <c r="CN52" s="73"/>
      <c r="CO52" s="73"/>
      <c r="CP52" s="73"/>
      <c r="CQ52" s="73"/>
      <c r="CR52" s="73"/>
      <c r="CS52" s="73"/>
      <c r="CT52" s="73"/>
      <c r="CU52" s="73"/>
      <c r="CV52" s="73"/>
      <c r="CW52" s="73"/>
      <c r="CX52" s="73"/>
      <c r="CY52" s="73"/>
      <c r="CZ52" s="73"/>
      <c r="DA52" s="73"/>
      <c r="DB52" s="73"/>
      <c r="DC52" s="73"/>
      <c r="DD52" s="73"/>
      <c r="DE52" s="73"/>
      <c r="DF52" s="73"/>
      <c r="DG52" s="73"/>
      <c r="DH52" s="73"/>
      <c r="DI52" s="73"/>
      <c r="DJ52" s="73"/>
      <c r="DK52" s="73"/>
      <c r="DL52" s="73"/>
      <c r="DM52" s="73"/>
      <c r="DN52" s="73"/>
      <c r="DO52" s="73"/>
      <c r="DP52" s="73"/>
      <c r="DQ52" s="73"/>
      <c r="DR52" s="73"/>
      <c r="DS52" s="73"/>
      <c r="DT52" s="73"/>
      <c r="DU52" s="74"/>
      <c r="DV52" s="74"/>
      <c r="DW52" s="72"/>
      <c r="DX52" s="72"/>
      <c r="DY52" s="72"/>
      <c r="DZ52" s="75"/>
      <c r="EA52" s="91" t="s">
        <v>72</v>
      </c>
    </row>
    <row r="53" ht="21.75" customHeight="1">
      <c r="A53" s="64"/>
      <c r="B53" s="70"/>
      <c r="C53" s="71"/>
      <c r="D53" s="71"/>
      <c r="E53" s="71"/>
      <c r="F53" s="81" t="s">
        <v>73</v>
      </c>
      <c r="G53" s="73"/>
      <c r="H53" s="73"/>
      <c r="I53" s="73"/>
      <c r="J53" s="73"/>
      <c r="K53" s="73"/>
      <c r="L53" s="73"/>
      <c r="M53" s="73">
        <v>0.0</v>
      </c>
      <c r="N53" s="73">
        <v>0.0</v>
      </c>
      <c r="O53" s="73">
        <v>0.0</v>
      </c>
      <c r="P53" s="73"/>
      <c r="Q53" s="73"/>
      <c r="R53" s="73"/>
      <c r="S53" s="73">
        <v>0.0</v>
      </c>
      <c r="T53" s="73">
        <v>0.0</v>
      </c>
      <c r="U53" s="73">
        <v>0.0</v>
      </c>
      <c r="V53" s="73"/>
      <c r="W53" s="73"/>
      <c r="X53" s="73"/>
      <c r="Y53" s="94">
        <v>-375.7178</v>
      </c>
      <c r="Z53" s="94">
        <v>0.0</v>
      </c>
      <c r="AA53" s="94">
        <v>-375.7178</v>
      </c>
      <c r="AB53" s="73"/>
      <c r="AC53" s="73"/>
      <c r="AD53" s="73"/>
      <c r="AE53" s="73">
        <f t="shared" ref="AE53:AG53" si="230">M53+S53+Y53</f>
        <v>-375.7178</v>
      </c>
      <c r="AF53" s="73">
        <f t="shared" si="230"/>
        <v>0</v>
      </c>
      <c r="AG53" s="73">
        <f t="shared" si="230"/>
        <v>-375.7178</v>
      </c>
      <c r="AH53" s="73"/>
      <c r="AI53" s="73"/>
      <c r="AJ53" s="73"/>
      <c r="AK53" s="73">
        <v>0.0</v>
      </c>
      <c r="AL53" s="73">
        <v>0.0</v>
      </c>
      <c r="AM53" s="73">
        <v>0.0</v>
      </c>
      <c r="AN53" s="73"/>
      <c r="AO53" s="73"/>
      <c r="AP53" s="73"/>
      <c r="AQ53" s="73">
        <f t="shared" ref="AQ53:AS53" si="231">AE53+AK53</f>
        <v>-375.7178</v>
      </c>
      <c r="AR53" s="73">
        <f t="shared" si="231"/>
        <v>0</v>
      </c>
      <c r="AS53" s="73">
        <f t="shared" si="231"/>
        <v>-375.7178</v>
      </c>
      <c r="AT53" s="73"/>
      <c r="AU53" s="73"/>
      <c r="AV53" s="73"/>
      <c r="AW53" s="73">
        <v>0.0</v>
      </c>
      <c r="AX53" s="73">
        <v>0.0</v>
      </c>
      <c r="AY53" s="73">
        <v>0.0</v>
      </c>
      <c r="AZ53" s="73"/>
      <c r="BA53" s="73"/>
      <c r="BB53" s="73"/>
      <c r="BC53" s="73">
        <f t="shared" ref="BC53:BE53" si="232">AQ53+AW53</f>
        <v>-375.7178</v>
      </c>
      <c r="BD53" s="73">
        <f t="shared" si="232"/>
        <v>0</v>
      </c>
      <c r="BE53" s="73">
        <f t="shared" si="232"/>
        <v>-375.7178</v>
      </c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BU53" s="73"/>
      <c r="BV53" s="73"/>
      <c r="BW53" s="73"/>
      <c r="BX53" s="73"/>
      <c r="BY53" s="73"/>
      <c r="BZ53" s="73"/>
      <c r="CA53" s="73"/>
      <c r="CB53" s="73"/>
      <c r="CC53" s="73"/>
      <c r="CD53" s="73"/>
      <c r="CE53" s="73"/>
      <c r="CF53" s="73"/>
      <c r="CG53" s="73"/>
      <c r="CH53" s="73"/>
      <c r="CI53" s="73"/>
      <c r="CJ53" s="73"/>
      <c r="CK53" s="73"/>
      <c r="CL53" s="73"/>
      <c r="CM53" s="73"/>
      <c r="CN53" s="73"/>
      <c r="CO53" s="73"/>
      <c r="CP53" s="73"/>
      <c r="CQ53" s="73"/>
      <c r="CR53" s="73"/>
      <c r="CS53" s="73"/>
      <c r="CT53" s="73"/>
      <c r="CU53" s="73"/>
      <c r="CV53" s="73"/>
      <c r="CW53" s="73"/>
      <c r="CX53" s="73"/>
      <c r="CY53" s="73"/>
      <c r="CZ53" s="73"/>
      <c r="DA53" s="73"/>
      <c r="DB53" s="73"/>
      <c r="DC53" s="73"/>
      <c r="DD53" s="73"/>
      <c r="DE53" s="73"/>
      <c r="DF53" s="73"/>
      <c r="DG53" s="73"/>
      <c r="DH53" s="73"/>
      <c r="DI53" s="73"/>
      <c r="DJ53" s="73"/>
      <c r="DK53" s="73"/>
      <c r="DL53" s="73"/>
      <c r="DM53" s="73"/>
      <c r="DN53" s="73"/>
      <c r="DO53" s="73"/>
      <c r="DP53" s="73"/>
      <c r="DQ53" s="73"/>
      <c r="DR53" s="73"/>
      <c r="DS53" s="73"/>
      <c r="DT53" s="73"/>
      <c r="DU53" s="74"/>
      <c r="DV53" s="74"/>
      <c r="DW53" s="72"/>
      <c r="DX53" s="72"/>
      <c r="DY53" s="72"/>
      <c r="DZ53" s="75"/>
      <c r="EA53" s="91"/>
    </row>
    <row r="54" ht="21.75" customHeight="1">
      <c r="A54" s="64"/>
      <c r="B54" s="70"/>
      <c r="C54" s="71"/>
      <c r="D54" s="71"/>
      <c r="E54" s="71"/>
      <c r="F54" s="78" t="s">
        <v>53</v>
      </c>
      <c r="G54" s="73"/>
      <c r="H54" s="73"/>
      <c r="I54" s="73"/>
      <c r="J54" s="73"/>
      <c r="K54" s="73"/>
      <c r="L54" s="73"/>
      <c r="M54" s="79">
        <f t="shared" ref="M54:M55" si="236">N54+O54</f>
        <v>0</v>
      </c>
      <c r="N54" s="79">
        <v>0.0</v>
      </c>
      <c r="O54" s="79">
        <v>0.0</v>
      </c>
      <c r="P54" s="79"/>
      <c r="Q54" s="79"/>
      <c r="R54" s="79"/>
      <c r="S54" s="79">
        <f t="shared" ref="S54:S55" si="237">T54+U54</f>
        <v>0</v>
      </c>
      <c r="T54" s="79">
        <v>0.0</v>
      </c>
      <c r="U54" s="79">
        <v>0.0</v>
      </c>
      <c r="V54" s="79"/>
      <c r="W54" s="79"/>
      <c r="X54" s="79"/>
      <c r="Y54" s="79">
        <f t="shared" ref="Y54:Y55" si="238">Z54+AA54</f>
        <v>0</v>
      </c>
      <c r="Z54" s="79">
        <v>0.0</v>
      </c>
      <c r="AA54" s="79">
        <v>0.0</v>
      </c>
      <c r="AB54" s="79"/>
      <c r="AC54" s="79"/>
      <c r="AD54" s="79"/>
      <c r="AE54" s="79">
        <f t="shared" ref="AE54:AG54" si="233">M54+S54+Y54</f>
        <v>0</v>
      </c>
      <c r="AF54" s="79">
        <f t="shared" si="233"/>
        <v>0</v>
      </c>
      <c r="AG54" s="79">
        <f t="shared" si="233"/>
        <v>0</v>
      </c>
      <c r="AH54" s="73"/>
      <c r="AI54" s="73"/>
      <c r="AJ54" s="73"/>
      <c r="AK54" s="79">
        <f t="shared" ref="AK54:AK55" si="240">AL54+AM54</f>
        <v>0</v>
      </c>
      <c r="AL54" s="79">
        <v>0.0</v>
      </c>
      <c r="AM54" s="79">
        <v>0.0</v>
      </c>
      <c r="AN54" s="73"/>
      <c r="AO54" s="73"/>
      <c r="AP54" s="73"/>
      <c r="AQ54" s="79">
        <f t="shared" ref="AQ54:AS54" si="234">AE54+AK54</f>
        <v>0</v>
      </c>
      <c r="AR54" s="79">
        <f t="shared" si="234"/>
        <v>0</v>
      </c>
      <c r="AS54" s="79">
        <f t="shared" si="234"/>
        <v>0</v>
      </c>
      <c r="AT54" s="73"/>
      <c r="AU54" s="73"/>
      <c r="AV54" s="73"/>
      <c r="AW54" s="79">
        <v>0.0</v>
      </c>
      <c r="AX54" s="79">
        <v>0.0</v>
      </c>
      <c r="AY54" s="79">
        <v>0.0</v>
      </c>
      <c r="AZ54" s="73"/>
      <c r="BA54" s="73"/>
      <c r="BB54" s="73"/>
      <c r="BC54" s="79">
        <f t="shared" ref="BC54:BE54" si="235">AQ54+AW54</f>
        <v>0</v>
      </c>
      <c r="BD54" s="79">
        <f t="shared" si="235"/>
        <v>0</v>
      </c>
      <c r="BE54" s="79">
        <f t="shared" si="235"/>
        <v>0</v>
      </c>
      <c r="BF54" s="73"/>
      <c r="BG54" s="73"/>
      <c r="BH54" s="73"/>
      <c r="BI54" s="73"/>
      <c r="BJ54" s="73"/>
      <c r="BK54" s="73"/>
      <c r="BL54" s="73"/>
      <c r="BM54" s="73"/>
      <c r="BN54" s="73"/>
      <c r="BO54" s="73"/>
      <c r="BP54" s="73"/>
      <c r="BQ54" s="73"/>
      <c r="BR54" s="73"/>
      <c r="BS54" s="73"/>
      <c r="BT54" s="73"/>
      <c r="BU54" s="73"/>
      <c r="BV54" s="73"/>
      <c r="BW54" s="73"/>
      <c r="BX54" s="73"/>
      <c r="BY54" s="73"/>
      <c r="BZ54" s="73"/>
      <c r="CA54" s="73"/>
      <c r="CB54" s="73"/>
      <c r="CC54" s="73"/>
      <c r="CD54" s="73"/>
      <c r="CE54" s="73"/>
      <c r="CF54" s="73"/>
      <c r="CG54" s="73"/>
      <c r="CH54" s="73"/>
      <c r="CI54" s="73"/>
      <c r="CJ54" s="73"/>
      <c r="CK54" s="73"/>
      <c r="CL54" s="73"/>
      <c r="CM54" s="73"/>
      <c r="CN54" s="73"/>
      <c r="CO54" s="73"/>
      <c r="CP54" s="73"/>
      <c r="CQ54" s="73"/>
      <c r="CR54" s="73"/>
      <c r="CS54" s="73"/>
      <c r="CT54" s="73"/>
      <c r="CU54" s="73"/>
      <c r="CV54" s="73"/>
      <c r="CW54" s="73"/>
      <c r="CX54" s="73"/>
      <c r="CY54" s="73"/>
      <c r="CZ54" s="73"/>
      <c r="DA54" s="73"/>
      <c r="DB54" s="73"/>
      <c r="DC54" s="73"/>
      <c r="DD54" s="73"/>
      <c r="DE54" s="73"/>
      <c r="DF54" s="73"/>
      <c r="DG54" s="73"/>
      <c r="DH54" s="73"/>
      <c r="DI54" s="73"/>
      <c r="DJ54" s="73"/>
      <c r="DK54" s="73"/>
      <c r="DL54" s="73"/>
      <c r="DM54" s="73"/>
      <c r="DN54" s="73"/>
      <c r="DO54" s="73"/>
      <c r="DP54" s="73"/>
      <c r="DQ54" s="73"/>
      <c r="DR54" s="73"/>
      <c r="DS54" s="73"/>
      <c r="DT54" s="73"/>
      <c r="DU54" s="74"/>
      <c r="DV54" s="74"/>
      <c r="DW54" s="72"/>
      <c r="DX54" s="72"/>
      <c r="DY54" s="72"/>
      <c r="DZ54" s="95"/>
      <c r="EA54" s="76" t="s">
        <v>74</v>
      </c>
    </row>
    <row r="55" ht="21.75" customHeight="1">
      <c r="A55" s="64"/>
      <c r="B55" s="92"/>
      <c r="C55" s="72"/>
      <c r="D55" s="71"/>
      <c r="E55" s="71"/>
      <c r="F55" s="78" t="s">
        <v>55</v>
      </c>
      <c r="G55" s="73"/>
      <c r="H55" s="73"/>
      <c r="I55" s="73"/>
      <c r="J55" s="73"/>
      <c r="K55" s="73"/>
      <c r="L55" s="73"/>
      <c r="M55" s="79">
        <f t="shared" si="236"/>
        <v>0</v>
      </c>
      <c r="N55" s="79">
        <v>0.0</v>
      </c>
      <c r="O55" s="79">
        <v>0.0</v>
      </c>
      <c r="P55" s="79"/>
      <c r="Q55" s="79"/>
      <c r="R55" s="79"/>
      <c r="S55" s="79">
        <f t="shared" si="237"/>
        <v>0</v>
      </c>
      <c r="T55" s="79">
        <v>0.0</v>
      </c>
      <c r="U55" s="79">
        <v>0.0</v>
      </c>
      <c r="V55" s="79"/>
      <c r="W55" s="79"/>
      <c r="X55" s="79"/>
      <c r="Y55" s="79">
        <f t="shared" si="238"/>
        <v>0</v>
      </c>
      <c r="Z55" s="79">
        <v>0.0</v>
      </c>
      <c r="AA55" s="79">
        <v>0.0</v>
      </c>
      <c r="AB55" s="79"/>
      <c r="AC55" s="79"/>
      <c r="AD55" s="79"/>
      <c r="AE55" s="79">
        <f t="shared" ref="AE55:AG55" si="239">M55+S55+Y55</f>
        <v>0</v>
      </c>
      <c r="AF55" s="79">
        <f t="shared" si="239"/>
        <v>0</v>
      </c>
      <c r="AG55" s="79">
        <f t="shared" si="239"/>
        <v>0</v>
      </c>
      <c r="AH55" s="73"/>
      <c r="AI55" s="73"/>
      <c r="AJ55" s="73"/>
      <c r="AK55" s="79">
        <f t="shared" si="240"/>
        <v>0</v>
      </c>
      <c r="AL55" s="79">
        <v>0.0</v>
      </c>
      <c r="AM55" s="79">
        <v>0.0</v>
      </c>
      <c r="AN55" s="73"/>
      <c r="AO55" s="73"/>
      <c r="AP55" s="73"/>
      <c r="AQ55" s="79">
        <f t="shared" ref="AQ55:AS55" si="241">AE55+AK55</f>
        <v>0</v>
      </c>
      <c r="AR55" s="79">
        <f t="shared" si="241"/>
        <v>0</v>
      </c>
      <c r="AS55" s="79">
        <f t="shared" si="241"/>
        <v>0</v>
      </c>
      <c r="AT55" s="73"/>
      <c r="AU55" s="73"/>
      <c r="AV55" s="73"/>
      <c r="AW55" s="79">
        <v>0.0</v>
      </c>
      <c r="AX55" s="79">
        <v>0.0</v>
      </c>
      <c r="AY55" s="79">
        <v>0.0</v>
      </c>
      <c r="AZ55" s="73"/>
      <c r="BA55" s="73"/>
      <c r="BB55" s="73"/>
      <c r="BC55" s="79">
        <f t="shared" ref="BC55:BE55" si="242">AQ55+AW55</f>
        <v>0</v>
      </c>
      <c r="BD55" s="79">
        <f t="shared" si="242"/>
        <v>0</v>
      </c>
      <c r="BE55" s="79">
        <f t="shared" si="242"/>
        <v>0</v>
      </c>
      <c r="BF55" s="73"/>
      <c r="BG55" s="73"/>
      <c r="BH55" s="73"/>
      <c r="BI55" s="73"/>
      <c r="BJ55" s="73"/>
      <c r="BK55" s="73"/>
      <c r="BL55" s="73"/>
      <c r="BM55" s="73"/>
      <c r="BN55" s="73"/>
      <c r="BO55" s="73"/>
      <c r="BP55" s="73"/>
      <c r="BQ55" s="73"/>
      <c r="BR55" s="73"/>
      <c r="BS55" s="73"/>
      <c r="BT55" s="73"/>
      <c r="BU55" s="73"/>
      <c r="BV55" s="73"/>
      <c r="BW55" s="73"/>
      <c r="BX55" s="73"/>
      <c r="BY55" s="73"/>
      <c r="BZ55" s="73"/>
      <c r="CA55" s="73"/>
      <c r="CB55" s="73"/>
      <c r="CC55" s="73"/>
      <c r="CD55" s="73"/>
      <c r="CE55" s="73"/>
      <c r="CF55" s="73"/>
      <c r="CG55" s="73"/>
      <c r="CH55" s="73"/>
      <c r="CI55" s="73"/>
      <c r="CJ55" s="73"/>
      <c r="CK55" s="73"/>
      <c r="CL55" s="73"/>
      <c r="CM55" s="73"/>
      <c r="CN55" s="73"/>
      <c r="CO55" s="73"/>
      <c r="CP55" s="73"/>
      <c r="CQ55" s="73"/>
      <c r="CR55" s="73"/>
      <c r="CS55" s="73"/>
      <c r="CT55" s="73"/>
      <c r="CU55" s="73"/>
      <c r="CV55" s="73"/>
      <c r="CW55" s="73"/>
      <c r="CX55" s="73"/>
      <c r="CY55" s="73"/>
      <c r="CZ55" s="73"/>
      <c r="DA55" s="73"/>
      <c r="DB55" s="73"/>
      <c r="DC55" s="73"/>
      <c r="DD55" s="73"/>
      <c r="DE55" s="73"/>
      <c r="DF55" s="73"/>
      <c r="DG55" s="73"/>
      <c r="DH55" s="73"/>
      <c r="DI55" s="73"/>
      <c r="DJ55" s="73"/>
      <c r="DK55" s="73"/>
      <c r="DL55" s="73"/>
      <c r="DM55" s="73"/>
      <c r="DN55" s="73"/>
      <c r="DO55" s="73"/>
      <c r="DP55" s="73"/>
      <c r="DQ55" s="73"/>
      <c r="DR55" s="73"/>
      <c r="DS55" s="73"/>
      <c r="DT55" s="73"/>
      <c r="DU55" s="74"/>
      <c r="DV55" s="74"/>
      <c r="DW55" s="72"/>
      <c r="DX55" s="72"/>
      <c r="DY55" s="72"/>
      <c r="DZ55" s="75"/>
      <c r="EA55" s="76"/>
    </row>
    <row r="56" ht="21.75" customHeight="1">
      <c r="A56" s="64"/>
      <c r="B56" s="70" t="s">
        <v>40</v>
      </c>
      <c r="C56" s="71" t="s">
        <v>75</v>
      </c>
      <c r="D56" s="71" t="s">
        <v>41</v>
      </c>
      <c r="E56" s="71" t="s">
        <v>76</v>
      </c>
      <c r="F56" s="72" t="s">
        <v>77</v>
      </c>
      <c r="G56" s="73">
        <v>640608.0</v>
      </c>
      <c r="H56" s="73">
        <v>0.0</v>
      </c>
      <c r="I56" s="73">
        <v>640608.0</v>
      </c>
      <c r="J56" s="73">
        <f t="shared" ref="J56:L56" si="243">J57+J59+J62</f>
        <v>0</v>
      </c>
      <c r="K56" s="73">
        <f t="shared" si="243"/>
        <v>0</v>
      </c>
      <c r="L56" s="73">
        <f t="shared" si="243"/>
        <v>0</v>
      </c>
      <c r="M56" s="73">
        <f t="shared" ref="M56:O56" si="244">M57+M59+M62+M65+M66</f>
        <v>3975.36579</v>
      </c>
      <c r="N56" s="73">
        <f t="shared" si="244"/>
        <v>0</v>
      </c>
      <c r="O56" s="73">
        <f t="shared" si="244"/>
        <v>3975.36579</v>
      </c>
      <c r="P56" s="73">
        <f t="shared" ref="P56:R56" si="245">P57+P59+P62</f>
        <v>0</v>
      </c>
      <c r="Q56" s="73">
        <f t="shared" si="245"/>
        <v>0</v>
      </c>
      <c r="R56" s="73">
        <f t="shared" si="245"/>
        <v>0</v>
      </c>
      <c r="S56" s="73">
        <f t="shared" ref="S56:U56" si="246">S57+S59+S62+S65+S66</f>
        <v>4543.86</v>
      </c>
      <c r="T56" s="73">
        <f t="shared" si="246"/>
        <v>0</v>
      </c>
      <c r="U56" s="73">
        <f t="shared" si="246"/>
        <v>4543.86</v>
      </c>
      <c r="V56" s="73">
        <v>814.0</v>
      </c>
      <c r="W56" s="73">
        <f>W57+W59+W62</f>
        <v>0</v>
      </c>
      <c r="X56" s="73">
        <v>814.0</v>
      </c>
      <c r="Y56" s="73">
        <f t="shared" ref="Y56:AA56" si="247">Y57+Y59+Y62+Y65+Y66</f>
        <v>23807.15785</v>
      </c>
      <c r="Z56" s="73">
        <f t="shared" si="247"/>
        <v>0</v>
      </c>
      <c r="AA56" s="73">
        <f t="shared" si="247"/>
        <v>23807.15785</v>
      </c>
      <c r="AB56" s="73">
        <f t="shared" ref="AB56:AG56" si="248">J56+P56+V56</f>
        <v>814</v>
      </c>
      <c r="AC56" s="73">
        <f t="shared" si="248"/>
        <v>0</v>
      </c>
      <c r="AD56" s="73">
        <f t="shared" si="248"/>
        <v>814</v>
      </c>
      <c r="AE56" s="73">
        <f t="shared" si="248"/>
        <v>32326.38364</v>
      </c>
      <c r="AF56" s="73">
        <f t="shared" si="248"/>
        <v>0</v>
      </c>
      <c r="AG56" s="73">
        <f t="shared" si="248"/>
        <v>32326.38364</v>
      </c>
      <c r="AH56" s="73">
        <f>AI56+AJ56</f>
        <v>2760</v>
      </c>
      <c r="AI56" s="73">
        <v>0.0</v>
      </c>
      <c r="AJ56" s="73">
        <v>2760.0</v>
      </c>
      <c r="AK56" s="73">
        <f t="shared" ref="AK56:AM56" si="249">AK57+AK59+AK62+AK65+AK66</f>
        <v>42541.59376</v>
      </c>
      <c r="AL56" s="73">
        <f t="shared" si="249"/>
        <v>0</v>
      </c>
      <c r="AM56" s="73">
        <f t="shared" si="249"/>
        <v>42541.59376</v>
      </c>
      <c r="AN56" s="73">
        <f t="shared" ref="AN56:AS56" si="250">AB56+AH56</f>
        <v>3574</v>
      </c>
      <c r="AO56" s="73">
        <f t="shared" si="250"/>
        <v>0</v>
      </c>
      <c r="AP56" s="73">
        <f t="shared" si="250"/>
        <v>3574</v>
      </c>
      <c r="AQ56" s="73">
        <f t="shared" si="250"/>
        <v>74867.9774</v>
      </c>
      <c r="AR56" s="73">
        <f t="shared" si="250"/>
        <v>0</v>
      </c>
      <c r="AS56" s="73">
        <f t="shared" si="250"/>
        <v>74867.9774</v>
      </c>
      <c r="AT56" s="73">
        <f>AU56+AV56</f>
        <v>4140</v>
      </c>
      <c r="AU56" s="73">
        <v>0.0</v>
      </c>
      <c r="AV56" s="73">
        <v>4140.0</v>
      </c>
      <c r="AW56" s="73">
        <f t="shared" ref="AW56:AY56" si="251">AW57+AW59+AW62+AW65+AW66</f>
        <v>17602.84549</v>
      </c>
      <c r="AX56" s="73">
        <f t="shared" si="251"/>
        <v>0</v>
      </c>
      <c r="AY56" s="73">
        <f t="shared" si="251"/>
        <v>17602.84549</v>
      </c>
      <c r="AZ56" s="73">
        <f t="shared" ref="AZ56:BE56" si="252">AN56+AT56</f>
        <v>7714</v>
      </c>
      <c r="BA56" s="73">
        <f t="shared" si="252"/>
        <v>0</v>
      </c>
      <c r="BB56" s="73">
        <f t="shared" si="252"/>
        <v>7714</v>
      </c>
      <c r="BC56" s="73">
        <f t="shared" si="252"/>
        <v>92470.82289</v>
      </c>
      <c r="BD56" s="73">
        <f t="shared" si="252"/>
        <v>0</v>
      </c>
      <c r="BE56" s="73">
        <f t="shared" si="252"/>
        <v>92470.82289</v>
      </c>
      <c r="BF56" s="73" t="str">
        <f t="shared" ref="BF56:DY56" si="253">BF64+#REF!+BF65+BF66</f>
        <v>#REF!</v>
      </c>
      <c r="BG56" s="73" t="str">
        <f t="shared" si="253"/>
        <v>#REF!</v>
      </c>
      <c r="BH56" s="73" t="str">
        <f t="shared" si="253"/>
        <v>#REF!</v>
      </c>
      <c r="BI56" s="73" t="str">
        <f t="shared" si="253"/>
        <v>#REF!</v>
      </c>
      <c r="BJ56" s="73" t="str">
        <f t="shared" si="253"/>
        <v>#REF!</v>
      </c>
      <c r="BK56" s="73" t="str">
        <f t="shared" si="253"/>
        <v>#REF!</v>
      </c>
      <c r="BL56" s="73" t="str">
        <f t="shared" si="253"/>
        <v>#REF!</v>
      </c>
      <c r="BM56" s="73" t="str">
        <f t="shared" si="253"/>
        <v>#REF!</v>
      </c>
      <c r="BN56" s="73" t="str">
        <f t="shared" si="253"/>
        <v>#REF!</v>
      </c>
      <c r="BO56" s="73" t="str">
        <f t="shared" si="253"/>
        <v>#REF!</v>
      </c>
      <c r="BP56" s="73" t="str">
        <f t="shared" si="253"/>
        <v>#REF!</v>
      </c>
      <c r="BQ56" s="73" t="str">
        <f t="shared" si="253"/>
        <v>#REF!</v>
      </c>
      <c r="BR56" s="73" t="str">
        <f t="shared" si="253"/>
        <v>#REF!</v>
      </c>
      <c r="BS56" s="73" t="str">
        <f t="shared" si="253"/>
        <v>#REF!</v>
      </c>
      <c r="BT56" s="73" t="str">
        <f t="shared" si="253"/>
        <v>#REF!</v>
      </c>
      <c r="BU56" s="73" t="str">
        <f t="shared" si="253"/>
        <v>#REF!</v>
      </c>
      <c r="BV56" s="73" t="str">
        <f t="shared" si="253"/>
        <v>#REF!</v>
      </c>
      <c r="BW56" s="73" t="str">
        <f t="shared" si="253"/>
        <v>#REF!</v>
      </c>
      <c r="BX56" s="73" t="str">
        <f t="shared" si="253"/>
        <v>#REF!</v>
      </c>
      <c r="BY56" s="73" t="str">
        <f t="shared" si="253"/>
        <v>#REF!</v>
      </c>
      <c r="BZ56" s="73" t="str">
        <f t="shared" si="253"/>
        <v>#REF!</v>
      </c>
      <c r="CA56" s="73" t="str">
        <f t="shared" si="253"/>
        <v>#REF!</v>
      </c>
      <c r="CB56" s="73" t="str">
        <f t="shared" si="253"/>
        <v>#REF!</v>
      </c>
      <c r="CC56" s="73" t="str">
        <f t="shared" si="253"/>
        <v>#REF!</v>
      </c>
      <c r="CD56" s="73" t="str">
        <f t="shared" si="253"/>
        <v>#REF!</v>
      </c>
      <c r="CE56" s="73" t="str">
        <f t="shared" si="253"/>
        <v>#REF!</v>
      </c>
      <c r="CF56" s="73" t="str">
        <f t="shared" si="253"/>
        <v>#REF!</v>
      </c>
      <c r="CG56" s="73" t="str">
        <f t="shared" si="253"/>
        <v>#REF!</v>
      </c>
      <c r="CH56" s="73" t="str">
        <f t="shared" si="253"/>
        <v>#REF!</v>
      </c>
      <c r="CI56" s="73" t="str">
        <f t="shared" si="253"/>
        <v>#REF!</v>
      </c>
      <c r="CJ56" s="73" t="str">
        <f t="shared" si="253"/>
        <v>#REF!</v>
      </c>
      <c r="CK56" s="73" t="str">
        <f t="shared" si="253"/>
        <v>#REF!</v>
      </c>
      <c r="CL56" s="73" t="str">
        <f t="shared" si="253"/>
        <v>#REF!</v>
      </c>
      <c r="CM56" s="73" t="str">
        <f t="shared" si="253"/>
        <v>#REF!</v>
      </c>
      <c r="CN56" s="73" t="str">
        <f t="shared" si="253"/>
        <v>#REF!</v>
      </c>
      <c r="CO56" s="73" t="str">
        <f t="shared" si="253"/>
        <v>#REF!</v>
      </c>
      <c r="CP56" s="73" t="str">
        <f t="shared" si="253"/>
        <v>#REF!</v>
      </c>
      <c r="CQ56" s="73" t="str">
        <f t="shared" si="253"/>
        <v>#REF!</v>
      </c>
      <c r="CR56" s="73" t="str">
        <f t="shared" si="253"/>
        <v>#REF!</v>
      </c>
      <c r="CS56" s="73" t="str">
        <f t="shared" si="253"/>
        <v>#REF!</v>
      </c>
      <c r="CT56" s="73" t="str">
        <f t="shared" si="253"/>
        <v>#REF!</v>
      </c>
      <c r="CU56" s="73" t="str">
        <f t="shared" si="253"/>
        <v>#REF!</v>
      </c>
      <c r="CV56" s="73" t="str">
        <f t="shared" si="253"/>
        <v>#REF!</v>
      </c>
      <c r="CW56" s="73" t="str">
        <f t="shared" si="253"/>
        <v>#REF!</v>
      </c>
      <c r="CX56" s="73" t="str">
        <f t="shared" si="253"/>
        <v>#REF!</v>
      </c>
      <c r="CY56" s="73" t="str">
        <f t="shared" si="253"/>
        <v>#REF!</v>
      </c>
      <c r="CZ56" s="73" t="str">
        <f t="shared" si="253"/>
        <v>#REF!</v>
      </c>
      <c r="DA56" s="73" t="str">
        <f t="shared" si="253"/>
        <v>#REF!</v>
      </c>
      <c r="DB56" s="73" t="str">
        <f t="shared" si="253"/>
        <v>#REF!</v>
      </c>
      <c r="DC56" s="73" t="str">
        <f t="shared" si="253"/>
        <v>#REF!</v>
      </c>
      <c r="DD56" s="73" t="str">
        <f t="shared" si="253"/>
        <v>#REF!</v>
      </c>
      <c r="DE56" s="73" t="str">
        <f t="shared" si="253"/>
        <v>#REF!</v>
      </c>
      <c r="DF56" s="73" t="str">
        <f t="shared" si="253"/>
        <v>#REF!</v>
      </c>
      <c r="DG56" s="73" t="str">
        <f t="shared" si="253"/>
        <v>#REF!</v>
      </c>
      <c r="DH56" s="73" t="str">
        <f t="shared" si="253"/>
        <v>#REF!</v>
      </c>
      <c r="DI56" s="73" t="str">
        <f t="shared" si="253"/>
        <v>#REF!</v>
      </c>
      <c r="DJ56" s="73" t="str">
        <f t="shared" si="253"/>
        <v>#REF!</v>
      </c>
      <c r="DK56" s="73" t="str">
        <f t="shared" si="253"/>
        <v>#REF!</v>
      </c>
      <c r="DL56" s="73" t="str">
        <f t="shared" si="253"/>
        <v>#REF!</v>
      </c>
      <c r="DM56" s="73" t="str">
        <f t="shared" si="253"/>
        <v>#REF!</v>
      </c>
      <c r="DN56" s="73" t="str">
        <f t="shared" si="253"/>
        <v>#REF!</v>
      </c>
      <c r="DO56" s="73" t="str">
        <f t="shared" si="253"/>
        <v>#REF!</v>
      </c>
      <c r="DP56" s="73" t="str">
        <f t="shared" si="253"/>
        <v>#REF!</v>
      </c>
      <c r="DQ56" s="73" t="str">
        <f t="shared" si="253"/>
        <v>#REF!</v>
      </c>
      <c r="DR56" s="73" t="str">
        <f t="shared" si="253"/>
        <v>#REF!</v>
      </c>
      <c r="DS56" s="73" t="str">
        <f t="shared" si="253"/>
        <v>#REF!</v>
      </c>
      <c r="DT56" s="73" t="str">
        <f t="shared" si="253"/>
        <v>#REF!</v>
      </c>
      <c r="DU56" s="74" t="str">
        <f t="shared" si="253"/>
        <v>#REF!</v>
      </c>
      <c r="DV56" s="74" t="str">
        <f t="shared" si="253"/>
        <v>#REF!</v>
      </c>
      <c r="DW56" s="74" t="str">
        <f t="shared" si="253"/>
        <v>#REF!</v>
      </c>
      <c r="DX56" s="74" t="str">
        <f t="shared" si="253"/>
        <v>#REF!</v>
      </c>
      <c r="DY56" s="74" t="str">
        <f t="shared" si="253"/>
        <v>#REF!</v>
      </c>
      <c r="DZ56" s="74"/>
      <c r="EA56" s="76"/>
    </row>
    <row r="57" ht="21.75" customHeight="1">
      <c r="A57" s="64"/>
      <c r="B57" s="70"/>
      <c r="C57" s="71"/>
      <c r="D57" s="71"/>
      <c r="E57" s="71"/>
      <c r="F57" s="78" t="s">
        <v>46</v>
      </c>
      <c r="G57" s="73"/>
      <c r="H57" s="73"/>
      <c r="I57" s="73"/>
      <c r="J57" s="73"/>
      <c r="K57" s="73"/>
      <c r="L57" s="73"/>
      <c r="M57" s="79">
        <f t="shared" ref="M57:O57" si="254">M58</f>
        <v>0</v>
      </c>
      <c r="N57" s="79">
        <f t="shared" si="254"/>
        <v>0</v>
      </c>
      <c r="O57" s="79">
        <f t="shared" si="254"/>
        <v>0</v>
      </c>
      <c r="P57" s="73"/>
      <c r="Q57" s="73"/>
      <c r="R57" s="73"/>
      <c r="S57" s="79">
        <f t="shared" ref="S57:U57" si="255">S58</f>
        <v>0</v>
      </c>
      <c r="T57" s="79">
        <f t="shared" si="255"/>
        <v>0</v>
      </c>
      <c r="U57" s="79">
        <f t="shared" si="255"/>
        <v>0</v>
      </c>
      <c r="V57" s="73"/>
      <c r="W57" s="73"/>
      <c r="X57" s="73"/>
      <c r="Y57" s="79">
        <f t="shared" ref="Y57:AA57" si="256">Y58</f>
        <v>0</v>
      </c>
      <c r="Z57" s="79">
        <f t="shared" si="256"/>
        <v>0</v>
      </c>
      <c r="AA57" s="79">
        <f t="shared" si="256"/>
        <v>0</v>
      </c>
      <c r="AB57" s="73"/>
      <c r="AC57" s="73"/>
      <c r="AD57" s="73"/>
      <c r="AE57" s="79">
        <f t="shared" ref="AE57:AG57" si="257">M57+S57+Y57</f>
        <v>0</v>
      </c>
      <c r="AF57" s="79">
        <f t="shared" si="257"/>
        <v>0</v>
      </c>
      <c r="AG57" s="79">
        <f t="shared" si="257"/>
        <v>0</v>
      </c>
      <c r="AH57" s="73"/>
      <c r="AI57" s="73"/>
      <c r="AJ57" s="73"/>
      <c r="AK57" s="79">
        <f t="shared" ref="AK57:AM57" si="258">AK58</f>
        <v>0</v>
      </c>
      <c r="AL57" s="79">
        <f t="shared" si="258"/>
        <v>0</v>
      </c>
      <c r="AM57" s="79">
        <f t="shared" si="258"/>
        <v>0</v>
      </c>
      <c r="AN57" s="73"/>
      <c r="AO57" s="73"/>
      <c r="AP57" s="73"/>
      <c r="AQ57" s="79">
        <f t="shared" ref="AQ57:AS57" si="259">AE57+AK57</f>
        <v>0</v>
      </c>
      <c r="AR57" s="79">
        <f t="shared" si="259"/>
        <v>0</v>
      </c>
      <c r="AS57" s="79">
        <f t="shared" si="259"/>
        <v>0</v>
      </c>
      <c r="AT57" s="73"/>
      <c r="AU57" s="73"/>
      <c r="AV57" s="73"/>
      <c r="AW57" s="79">
        <v>0.0</v>
      </c>
      <c r="AX57" s="79">
        <v>0.0</v>
      </c>
      <c r="AY57" s="79">
        <v>0.0</v>
      </c>
      <c r="AZ57" s="73"/>
      <c r="BA57" s="73"/>
      <c r="BB57" s="73"/>
      <c r="BC57" s="79">
        <f t="shared" ref="BC57:BE57" si="260">AQ57+AW57</f>
        <v>0</v>
      </c>
      <c r="BD57" s="79">
        <f t="shared" si="260"/>
        <v>0</v>
      </c>
      <c r="BE57" s="79">
        <f t="shared" si="260"/>
        <v>0</v>
      </c>
      <c r="BF57" s="73"/>
      <c r="BG57" s="73"/>
      <c r="BH57" s="73"/>
      <c r="BI57" s="73"/>
      <c r="BJ57" s="73"/>
      <c r="BK57" s="73"/>
      <c r="BL57" s="73"/>
      <c r="BM57" s="73"/>
      <c r="BN57" s="73"/>
      <c r="BO57" s="73"/>
      <c r="BP57" s="73"/>
      <c r="BQ57" s="73"/>
      <c r="BR57" s="73"/>
      <c r="BS57" s="73"/>
      <c r="BT57" s="73"/>
      <c r="BU57" s="73"/>
      <c r="BV57" s="73"/>
      <c r="BW57" s="73"/>
      <c r="BX57" s="73"/>
      <c r="BY57" s="73"/>
      <c r="BZ57" s="73"/>
      <c r="CA57" s="73"/>
      <c r="CB57" s="73"/>
      <c r="CC57" s="73"/>
      <c r="CD57" s="73"/>
      <c r="CE57" s="73"/>
      <c r="CF57" s="73"/>
      <c r="CG57" s="73"/>
      <c r="CH57" s="73"/>
      <c r="CI57" s="73"/>
      <c r="CJ57" s="73"/>
      <c r="CK57" s="73"/>
      <c r="CL57" s="73"/>
      <c r="CM57" s="73"/>
      <c r="CN57" s="73"/>
      <c r="CO57" s="73"/>
      <c r="CP57" s="73"/>
      <c r="CQ57" s="73"/>
      <c r="CR57" s="73"/>
      <c r="CS57" s="73"/>
      <c r="CT57" s="73"/>
      <c r="CU57" s="73"/>
      <c r="CV57" s="73"/>
      <c r="CW57" s="73"/>
      <c r="CX57" s="73"/>
      <c r="CY57" s="73"/>
      <c r="CZ57" s="73"/>
      <c r="DA57" s="73"/>
      <c r="DB57" s="73"/>
      <c r="DC57" s="73"/>
      <c r="DD57" s="73"/>
      <c r="DE57" s="73"/>
      <c r="DF57" s="73"/>
      <c r="DG57" s="73"/>
      <c r="DH57" s="73"/>
      <c r="DI57" s="73"/>
      <c r="DJ57" s="73"/>
      <c r="DK57" s="73"/>
      <c r="DL57" s="73"/>
      <c r="DM57" s="73"/>
      <c r="DN57" s="73"/>
      <c r="DO57" s="73"/>
      <c r="DP57" s="73"/>
      <c r="DQ57" s="73"/>
      <c r="DR57" s="73"/>
      <c r="DS57" s="73"/>
      <c r="DT57" s="73"/>
      <c r="DU57" s="74"/>
      <c r="DV57" s="74"/>
      <c r="DW57" s="74"/>
      <c r="DX57" s="74"/>
      <c r="DY57" s="74"/>
      <c r="DZ57" s="74"/>
      <c r="EA57" s="76"/>
    </row>
    <row r="58" ht="21.75" customHeight="1">
      <c r="A58" s="64"/>
      <c r="B58" s="70"/>
      <c r="C58" s="71"/>
      <c r="D58" s="71"/>
      <c r="E58" s="71"/>
      <c r="F58" s="81" t="s">
        <v>47</v>
      </c>
      <c r="G58" s="73"/>
      <c r="H58" s="73"/>
      <c r="I58" s="73"/>
      <c r="J58" s="73"/>
      <c r="K58" s="73"/>
      <c r="L58" s="73"/>
      <c r="M58" s="73">
        <v>0.0</v>
      </c>
      <c r="N58" s="73">
        <v>0.0</v>
      </c>
      <c r="O58" s="73">
        <v>0.0</v>
      </c>
      <c r="P58" s="73"/>
      <c r="Q58" s="73"/>
      <c r="R58" s="73"/>
      <c r="S58" s="73">
        <v>0.0</v>
      </c>
      <c r="T58" s="73">
        <v>0.0</v>
      </c>
      <c r="U58" s="73">
        <v>0.0</v>
      </c>
      <c r="V58" s="73"/>
      <c r="W58" s="73"/>
      <c r="X58" s="73"/>
      <c r="Y58" s="73">
        <v>0.0</v>
      </c>
      <c r="Z58" s="73">
        <v>0.0</v>
      </c>
      <c r="AA58" s="73">
        <v>0.0</v>
      </c>
      <c r="AB58" s="73"/>
      <c r="AC58" s="73"/>
      <c r="AD58" s="73"/>
      <c r="AE58" s="73">
        <f t="shared" ref="AE58:AG58" si="261">M58+S58+Y58</f>
        <v>0</v>
      </c>
      <c r="AF58" s="73">
        <f t="shared" si="261"/>
        <v>0</v>
      </c>
      <c r="AG58" s="73">
        <f t="shared" si="261"/>
        <v>0</v>
      </c>
      <c r="AH58" s="73"/>
      <c r="AI58" s="73"/>
      <c r="AJ58" s="73"/>
      <c r="AK58" s="73">
        <v>0.0</v>
      </c>
      <c r="AL58" s="73">
        <v>0.0</v>
      </c>
      <c r="AM58" s="73">
        <v>0.0</v>
      </c>
      <c r="AN58" s="73"/>
      <c r="AO58" s="73"/>
      <c r="AP58" s="73"/>
      <c r="AQ58" s="73">
        <f t="shared" ref="AQ58:AS58" si="262">AE58+AK58</f>
        <v>0</v>
      </c>
      <c r="AR58" s="73">
        <f t="shared" si="262"/>
        <v>0</v>
      </c>
      <c r="AS58" s="73">
        <f t="shared" si="262"/>
        <v>0</v>
      </c>
      <c r="AT58" s="73"/>
      <c r="AU58" s="73"/>
      <c r="AV58" s="73"/>
      <c r="AW58" s="73">
        <v>0.0</v>
      </c>
      <c r="AX58" s="73">
        <v>0.0</v>
      </c>
      <c r="AY58" s="73">
        <v>0.0</v>
      </c>
      <c r="AZ58" s="73"/>
      <c r="BA58" s="73"/>
      <c r="BB58" s="73"/>
      <c r="BC58" s="73">
        <f t="shared" ref="BC58:BE58" si="263">AQ58+AW58</f>
        <v>0</v>
      </c>
      <c r="BD58" s="73">
        <f t="shared" si="263"/>
        <v>0</v>
      </c>
      <c r="BE58" s="73">
        <f t="shared" si="263"/>
        <v>0</v>
      </c>
      <c r="BF58" s="73"/>
      <c r="BG58" s="73"/>
      <c r="BH58" s="73"/>
      <c r="BI58" s="73"/>
      <c r="BJ58" s="73"/>
      <c r="BK58" s="73"/>
      <c r="BL58" s="73"/>
      <c r="BM58" s="73"/>
      <c r="BN58" s="73"/>
      <c r="BO58" s="73"/>
      <c r="BP58" s="73"/>
      <c r="BQ58" s="73"/>
      <c r="BR58" s="73"/>
      <c r="BS58" s="73"/>
      <c r="BT58" s="73"/>
      <c r="BU58" s="73"/>
      <c r="BV58" s="73"/>
      <c r="BW58" s="73"/>
      <c r="BX58" s="73"/>
      <c r="BY58" s="73"/>
      <c r="BZ58" s="73"/>
      <c r="CA58" s="73"/>
      <c r="CB58" s="73"/>
      <c r="CC58" s="73"/>
      <c r="CD58" s="73"/>
      <c r="CE58" s="73"/>
      <c r="CF58" s="73"/>
      <c r="CG58" s="73"/>
      <c r="CH58" s="73"/>
      <c r="CI58" s="73"/>
      <c r="CJ58" s="73"/>
      <c r="CK58" s="73"/>
      <c r="CL58" s="73"/>
      <c r="CM58" s="73"/>
      <c r="CN58" s="73"/>
      <c r="CO58" s="73"/>
      <c r="CP58" s="73"/>
      <c r="CQ58" s="73"/>
      <c r="CR58" s="73"/>
      <c r="CS58" s="73"/>
      <c r="CT58" s="73"/>
      <c r="CU58" s="73"/>
      <c r="CV58" s="73"/>
      <c r="CW58" s="73"/>
      <c r="CX58" s="73"/>
      <c r="CY58" s="73"/>
      <c r="CZ58" s="73"/>
      <c r="DA58" s="73"/>
      <c r="DB58" s="73"/>
      <c r="DC58" s="73"/>
      <c r="DD58" s="73"/>
      <c r="DE58" s="73"/>
      <c r="DF58" s="73"/>
      <c r="DG58" s="73"/>
      <c r="DH58" s="73"/>
      <c r="DI58" s="73"/>
      <c r="DJ58" s="73"/>
      <c r="DK58" s="73"/>
      <c r="DL58" s="73"/>
      <c r="DM58" s="73"/>
      <c r="DN58" s="73"/>
      <c r="DO58" s="73"/>
      <c r="DP58" s="73"/>
      <c r="DQ58" s="73"/>
      <c r="DR58" s="73"/>
      <c r="DS58" s="73"/>
      <c r="DT58" s="73"/>
      <c r="DU58" s="74"/>
      <c r="DV58" s="74"/>
      <c r="DW58" s="74"/>
      <c r="DX58" s="74"/>
      <c r="DY58" s="74"/>
      <c r="DZ58" s="74"/>
      <c r="EA58" s="76"/>
    </row>
    <row r="59" ht="21.75" customHeight="1">
      <c r="A59" s="64"/>
      <c r="B59" s="70"/>
      <c r="C59" s="71"/>
      <c r="D59" s="71"/>
      <c r="E59" s="71"/>
      <c r="F59" s="78" t="s">
        <v>48</v>
      </c>
      <c r="G59" s="73"/>
      <c r="H59" s="73"/>
      <c r="I59" s="73"/>
      <c r="J59" s="73"/>
      <c r="K59" s="73"/>
      <c r="L59" s="73"/>
      <c r="M59" s="79">
        <f t="shared" ref="M59:O59" si="264">M60+M61</f>
        <v>3724.05676</v>
      </c>
      <c r="N59" s="79">
        <f t="shared" si="264"/>
        <v>0</v>
      </c>
      <c r="O59" s="79">
        <f t="shared" si="264"/>
        <v>3724.05676</v>
      </c>
      <c r="P59" s="79"/>
      <c r="Q59" s="79"/>
      <c r="R59" s="79"/>
      <c r="S59" s="79">
        <f t="shared" ref="S59:U59" si="265">S60+S61</f>
        <v>4248</v>
      </c>
      <c r="T59" s="79">
        <f t="shared" si="265"/>
        <v>0</v>
      </c>
      <c r="U59" s="79">
        <f t="shared" si="265"/>
        <v>4248</v>
      </c>
      <c r="V59" s="79"/>
      <c r="W59" s="79"/>
      <c r="X59" s="79"/>
      <c r="Y59" s="79">
        <f t="shared" ref="Y59:AA59" si="266">Y60+Y61</f>
        <v>4828.90603</v>
      </c>
      <c r="Z59" s="79">
        <f t="shared" si="266"/>
        <v>0</v>
      </c>
      <c r="AA59" s="79">
        <f t="shared" si="266"/>
        <v>4828.90603</v>
      </c>
      <c r="AB59" s="79"/>
      <c r="AC59" s="79"/>
      <c r="AD59" s="79"/>
      <c r="AE59" s="79">
        <f t="shared" ref="AE59:AG59" si="267">M59+S59+Y59</f>
        <v>12800.96279</v>
      </c>
      <c r="AF59" s="79">
        <f t="shared" si="267"/>
        <v>0</v>
      </c>
      <c r="AG59" s="79">
        <f t="shared" si="267"/>
        <v>12800.96279</v>
      </c>
      <c r="AH59" s="73"/>
      <c r="AI59" s="73"/>
      <c r="AJ59" s="73"/>
      <c r="AK59" s="79">
        <f t="shared" ref="AK59:AM59" si="268">AK60+AK61</f>
        <v>5901.50444</v>
      </c>
      <c r="AL59" s="79">
        <f t="shared" si="268"/>
        <v>0</v>
      </c>
      <c r="AM59" s="79">
        <f t="shared" si="268"/>
        <v>5901.50444</v>
      </c>
      <c r="AN59" s="73"/>
      <c r="AO59" s="73"/>
      <c r="AP59" s="73"/>
      <c r="AQ59" s="79">
        <f t="shared" ref="AQ59:AS59" si="269">AE59+AK59</f>
        <v>18702.46723</v>
      </c>
      <c r="AR59" s="79">
        <f t="shared" si="269"/>
        <v>0</v>
      </c>
      <c r="AS59" s="79">
        <f t="shared" si="269"/>
        <v>18702.46723</v>
      </c>
      <c r="AT59" s="73"/>
      <c r="AU59" s="73"/>
      <c r="AV59" s="73"/>
      <c r="AW59" s="79">
        <f t="shared" ref="AW59:AY59" si="270">AW60+AW61</f>
        <v>4415.46836</v>
      </c>
      <c r="AX59" s="79">
        <f t="shared" si="270"/>
        <v>0</v>
      </c>
      <c r="AY59" s="79">
        <f t="shared" si="270"/>
        <v>4415.46836</v>
      </c>
      <c r="AZ59" s="73"/>
      <c r="BA59" s="73"/>
      <c r="BB59" s="73"/>
      <c r="BC59" s="79">
        <f t="shared" ref="BC59:BE59" si="271">AQ59+AW59</f>
        <v>23117.93559</v>
      </c>
      <c r="BD59" s="79">
        <f t="shared" si="271"/>
        <v>0</v>
      </c>
      <c r="BE59" s="79">
        <f t="shared" si="271"/>
        <v>23117.93559</v>
      </c>
      <c r="BF59" s="73"/>
      <c r="BG59" s="73"/>
      <c r="BH59" s="73"/>
      <c r="BI59" s="73"/>
      <c r="BJ59" s="73"/>
      <c r="BK59" s="73"/>
      <c r="BL59" s="73"/>
      <c r="BM59" s="73"/>
      <c r="BN59" s="73"/>
      <c r="BO59" s="73"/>
      <c r="BP59" s="73"/>
      <c r="BQ59" s="73"/>
      <c r="BR59" s="73"/>
      <c r="BS59" s="73"/>
      <c r="BT59" s="73"/>
      <c r="BU59" s="73"/>
      <c r="BV59" s="73"/>
      <c r="BW59" s="73"/>
      <c r="BX59" s="73"/>
      <c r="BY59" s="73"/>
      <c r="BZ59" s="73"/>
      <c r="CA59" s="73"/>
      <c r="CB59" s="73"/>
      <c r="CC59" s="73"/>
      <c r="CD59" s="73"/>
      <c r="CE59" s="73"/>
      <c r="CF59" s="73"/>
      <c r="CG59" s="73"/>
      <c r="CH59" s="73"/>
      <c r="CI59" s="73"/>
      <c r="CJ59" s="73"/>
      <c r="CK59" s="73"/>
      <c r="CL59" s="73"/>
      <c r="CM59" s="73"/>
      <c r="CN59" s="73"/>
      <c r="CO59" s="73"/>
      <c r="CP59" s="73"/>
      <c r="CQ59" s="73"/>
      <c r="CR59" s="73"/>
      <c r="CS59" s="73"/>
      <c r="CT59" s="73"/>
      <c r="CU59" s="73"/>
      <c r="CV59" s="73"/>
      <c r="CW59" s="73"/>
      <c r="CX59" s="73"/>
      <c r="CY59" s="73"/>
      <c r="CZ59" s="73"/>
      <c r="DA59" s="73"/>
      <c r="DB59" s="73"/>
      <c r="DC59" s="73"/>
      <c r="DD59" s="73"/>
      <c r="DE59" s="73"/>
      <c r="DF59" s="73"/>
      <c r="DG59" s="73"/>
      <c r="DH59" s="73"/>
      <c r="DI59" s="73"/>
      <c r="DJ59" s="73"/>
      <c r="DK59" s="73"/>
      <c r="DL59" s="73"/>
      <c r="DM59" s="73"/>
      <c r="DN59" s="73"/>
      <c r="DO59" s="73"/>
      <c r="DP59" s="73"/>
      <c r="DQ59" s="73"/>
      <c r="DR59" s="73"/>
      <c r="DS59" s="73"/>
      <c r="DT59" s="73"/>
      <c r="DU59" s="74"/>
      <c r="DV59" s="74"/>
      <c r="DW59" s="74"/>
      <c r="DX59" s="74"/>
      <c r="DY59" s="74"/>
      <c r="DZ59" s="74"/>
      <c r="EA59" s="82"/>
    </row>
    <row r="60" ht="21.75" customHeight="1">
      <c r="A60" s="64"/>
      <c r="B60" s="70"/>
      <c r="C60" s="71"/>
      <c r="D60" s="71"/>
      <c r="E60" s="71"/>
      <c r="F60" s="81" t="s">
        <v>47</v>
      </c>
      <c r="G60" s="73"/>
      <c r="H60" s="73"/>
      <c r="I60" s="73"/>
      <c r="J60" s="73"/>
      <c r="K60" s="73"/>
      <c r="L60" s="73"/>
      <c r="M60" s="73">
        <f>N60+O60</f>
        <v>3724.05676</v>
      </c>
      <c r="N60" s="73">
        <v>0.0</v>
      </c>
      <c r="O60" s="73">
        <v>3724.05676</v>
      </c>
      <c r="P60" s="73"/>
      <c r="Q60" s="73"/>
      <c r="R60" s="73"/>
      <c r="S60" s="73">
        <v>4296.69233</v>
      </c>
      <c r="T60" s="73">
        <v>0.0</v>
      </c>
      <c r="U60" s="73">
        <v>4296.69233</v>
      </c>
      <c r="V60" s="73"/>
      <c r="W60" s="73"/>
      <c r="X60" s="73"/>
      <c r="Y60" s="73">
        <v>4859.76668</v>
      </c>
      <c r="Z60" s="73">
        <v>0.0</v>
      </c>
      <c r="AA60" s="73">
        <v>4859.76668</v>
      </c>
      <c r="AB60" s="73"/>
      <c r="AC60" s="73"/>
      <c r="AD60" s="73"/>
      <c r="AE60" s="73">
        <f t="shared" ref="AE60:AG60" si="272">M60+S60+Y60</f>
        <v>12880.51577</v>
      </c>
      <c r="AF60" s="73">
        <f t="shared" si="272"/>
        <v>0</v>
      </c>
      <c r="AG60" s="73">
        <f t="shared" si="272"/>
        <v>12880.51577</v>
      </c>
      <c r="AH60" s="73"/>
      <c r="AI60" s="73"/>
      <c r="AJ60" s="73"/>
      <c r="AK60" s="73">
        <v>6059.58387</v>
      </c>
      <c r="AL60" s="73">
        <v>0.0</v>
      </c>
      <c r="AM60" s="73">
        <v>6059.58387</v>
      </c>
      <c r="AN60" s="73"/>
      <c r="AO60" s="73"/>
      <c r="AP60" s="73"/>
      <c r="AQ60" s="73">
        <f t="shared" ref="AQ60:AS60" si="273">AE60+AK60</f>
        <v>18940.09964</v>
      </c>
      <c r="AR60" s="73">
        <f t="shared" si="273"/>
        <v>0</v>
      </c>
      <c r="AS60" s="73">
        <f t="shared" si="273"/>
        <v>18940.09964</v>
      </c>
      <c r="AT60" s="73"/>
      <c r="AU60" s="73"/>
      <c r="AV60" s="73"/>
      <c r="AW60" s="73">
        <f>1628.64034+2820.73398</f>
        <v>4449.37432</v>
      </c>
      <c r="AX60" s="73">
        <v>0.0</v>
      </c>
      <c r="AY60" s="73">
        <f>1628.64034+2820.73398</f>
        <v>4449.37432</v>
      </c>
      <c r="AZ60" s="73"/>
      <c r="BA60" s="73"/>
      <c r="BB60" s="73"/>
      <c r="BC60" s="73">
        <f t="shared" ref="BC60:BE60" si="274">AQ60+AW60</f>
        <v>23389.47396</v>
      </c>
      <c r="BD60" s="73">
        <f t="shared" si="274"/>
        <v>0</v>
      </c>
      <c r="BE60" s="73">
        <f t="shared" si="274"/>
        <v>23389.47396</v>
      </c>
      <c r="BF60" s="73"/>
      <c r="BG60" s="73"/>
      <c r="BH60" s="73"/>
      <c r="BI60" s="73"/>
      <c r="BJ60" s="73"/>
      <c r="BK60" s="73"/>
      <c r="BL60" s="73"/>
      <c r="BM60" s="73"/>
      <c r="BN60" s="73"/>
      <c r="BO60" s="73"/>
      <c r="BP60" s="73"/>
      <c r="BQ60" s="73"/>
      <c r="BR60" s="73"/>
      <c r="BS60" s="73"/>
      <c r="BT60" s="73"/>
      <c r="BU60" s="73"/>
      <c r="BV60" s="73"/>
      <c r="BW60" s="73"/>
      <c r="BX60" s="73"/>
      <c r="BY60" s="73"/>
      <c r="BZ60" s="73"/>
      <c r="CA60" s="73"/>
      <c r="CB60" s="73"/>
      <c r="CC60" s="73"/>
      <c r="CD60" s="73"/>
      <c r="CE60" s="73"/>
      <c r="CF60" s="73"/>
      <c r="CG60" s="73"/>
      <c r="CH60" s="73"/>
      <c r="CI60" s="73"/>
      <c r="CJ60" s="73"/>
      <c r="CK60" s="73"/>
      <c r="CL60" s="73"/>
      <c r="CM60" s="73"/>
      <c r="CN60" s="73"/>
      <c r="CO60" s="73"/>
      <c r="CP60" s="73"/>
      <c r="CQ60" s="73"/>
      <c r="CR60" s="73"/>
      <c r="CS60" s="73"/>
      <c r="CT60" s="73"/>
      <c r="CU60" s="73"/>
      <c r="CV60" s="73"/>
      <c r="CW60" s="73"/>
      <c r="CX60" s="73"/>
      <c r="CY60" s="73"/>
      <c r="CZ60" s="73"/>
      <c r="DA60" s="73"/>
      <c r="DB60" s="73"/>
      <c r="DC60" s="73"/>
      <c r="DD60" s="73"/>
      <c r="DE60" s="73"/>
      <c r="DF60" s="73"/>
      <c r="DG60" s="73"/>
      <c r="DH60" s="73"/>
      <c r="DI60" s="73"/>
      <c r="DJ60" s="73"/>
      <c r="DK60" s="73"/>
      <c r="DL60" s="73"/>
      <c r="DM60" s="73"/>
      <c r="DN60" s="73"/>
      <c r="DO60" s="73"/>
      <c r="DP60" s="73"/>
      <c r="DQ60" s="73"/>
      <c r="DR60" s="73"/>
      <c r="DS60" s="73"/>
      <c r="DT60" s="73"/>
      <c r="DU60" s="74"/>
      <c r="DV60" s="74"/>
      <c r="DW60" s="74"/>
      <c r="DX60" s="74"/>
      <c r="DY60" s="74"/>
      <c r="DZ60" s="74"/>
      <c r="EA60" s="82" t="s">
        <v>78</v>
      </c>
    </row>
    <row r="61" ht="21.75" customHeight="1">
      <c r="A61" s="64"/>
      <c r="B61" s="70"/>
      <c r="C61" s="71"/>
      <c r="D61" s="71"/>
      <c r="E61" s="71"/>
      <c r="F61" s="81" t="s">
        <v>50</v>
      </c>
      <c r="G61" s="73"/>
      <c r="H61" s="73"/>
      <c r="I61" s="73"/>
      <c r="J61" s="73"/>
      <c r="K61" s="73"/>
      <c r="L61" s="73"/>
      <c r="M61" s="73">
        <v>0.0</v>
      </c>
      <c r="N61" s="73">
        <v>0.0</v>
      </c>
      <c r="O61" s="73">
        <v>0.0</v>
      </c>
      <c r="P61" s="73"/>
      <c r="Q61" s="73"/>
      <c r="R61" s="73"/>
      <c r="S61" s="73">
        <v>-48.692329999999856</v>
      </c>
      <c r="T61" s="73">
        <v>0.0</v>
      </c>
      <c r="U61" s="73">
        <v>-48.692329999999856</v>
      </c>
      <c r="V61" s="73"/>
      <c r="W61" s="73"/>
      <c r="X61" s="73"/>
      <c r="Y61" s="73">
        <v>-30.86065</v>
      </c>
      <c r="Z61" s="73">
        <v>0.0</v>
      </c>
      <c r="AA61" s="73">
        <v>-30.86065</v>
      </c>
      <c r="AB61" s="73"/>
      <c r="AC61" s="73"/>
      <c r="AD61" s="73"/>
      <c r="AE61" s="73">
        <f t="shared" ref="AE61:AG61" si="275">M61+S61+Y61</f>
        <v>-79.55298</v>
      </c>
      <c r="AF61" s="73">
        <f t="shared" si="275"/>
        <v>0</v>
      </c>
      <c r="AG61" s="73">
        <f t="shared" si="275"/>
        <v>-79.55298</v>
      </c>
      <c r="AH61" s="73"/>
      <c r="AI61" s="73"/>
      <c r="AJ61" s="73"/>
      <c r="AK61" s="73">
        <v>-158.07943000000068</v>
      </c>
      <c r="AL61" s="73">
        <v>0.0</v>
      </c>
      <c r="AM61" s="73">
        <v>-158.07943000000068</v>
      </c>
      <c r="AN61" s="73"/>
      <c r="AO61" s="73"/>
      <c r="AP61" s="73"/>
      <c r="AQ61" s="73">
        <f t="shared" ref="AQ61:AS61" si="276">AE61+AK61</f>
        <v>-237.63241</v>
      </c>
      <c r="AR61" s="73">
        <f t="shared" si="276"/>
        <v>0</v>
      </c>
      <c r="AS61" s="73">
        <f t="shared" si="276"/>
        <v>-237.63241</v>
      </c>
      <c r="AT61" s="73"/>
      <c r="AU61" s="73"/>
      <c r="AV61" s="73"/>
      <c r="AW61" s="73">
        <v>-33.90596</v>
      </c>
      <c r="AX61" s="73">
        <v>0.0</v>
      </c>
      <c r="AY61" s="73">
        <v>-33.90596</v>
      </c>
      <c r="AZ61" s="73"/>
      <c r="BA61" s="73"/>
      <c r="BB61" s="73"/>
      <c r="BC61" s="73">
        <f t="shared" ref="BC61:BE61" si="277">AQ61+AW61</f>
        <v>-271.53837</v>
      </c>
      <c r="BD61" s="73">
        <f t="shared" si="277"/>
        <v>0</v>
      </c>
      <c r="BE61" s="73">
        <f t="shared" si="277"/>
        <v>-271.53837</v>
      </c>
      <c r="BF61" s="73"/>
      <c r="BG61" s="73"/>
      <c r="BH61" s="73"/>
      <c r="BI61" s="73"/>
      <c r="BJ61" s="73"/>
      <c r="BK61" s="73"/>
      <c r="BL61" s="73"/>
      <c r="BM61" s="73"/>
      <c r="BN61" s="73"/>
      <c r="BO61" s="73"/>
      <c r="BP61" s="73"/>
      <c r="BQ61" s="73"/>
      <c r="BR61" s="73"/>
      <c r="BS61" s="73"/>
      <c r="BT61" s="73"/>
      <c r="BU61" s="73"/>
      <c r="BV61" s="73"/>
      <c r="BW61" s="73"/>
      <c r="BX61" s="73"/>
      <c r="BY61" s="73"/>
      <c r="BZ61" s="73"/>
      <c r="CA61" s="73"/>
      <c r="CB61" s="73"/>
      <c r="CC61" s="73"/>
      <c r="CD61" s="73"/>
      <c r="CE61" s="73"/>
      <c r="CF61" s="73"/>
      <c r="CG61" s="73"/>
      <c r="CH61" s="73"/>
      <c r="CI61" s="73"/>
      <c r="CJ61" s="73"/>
      <c r="CK61" s="73"/>
      <c r="CL61" s="73"/>
      <c r="CM61" s="73"/>
      <c r="CN61" s="73"/>
      <c r="CO61" s="73"/>
      <c r="CP61" s="73"/>
      <c r="CQ61" s="73"/>
      <c r="CR61" s="73"/>
      <c r="CS61" s="73"/>
      <c r="CT61" s="73"/>
      <c r="CU61" s="73"/>
      <c r="CV61" s="73"/>
      <c r="CW61" s="73"/>
      <c r="CX61" s="73"/>
      <c r="CY61" s="73"/>
      <c r="CZ61" s="73"/>
      <c r="DA61" s="73"/>
      <c r="DB61" s="73"/>
      <c r="DC61" s="73"/>
      <c r="DD61" s="73"/>
      <c r="DE61" s="73"/>
      <c r="DF61" s="73"/>
      <c r="DG61" s="73"/>
      <c r="DH61" s="73"/>
      <c r="DI61" s="73"/>
      <c r="DJ61" s="73"/>
      <c r="DK61" s="73"/>
      <c r="DL61" s="73"/>
      <c r="DM61" s="73"/>
      <c r="DN61" s="73"/>
      <c r="DO61" s="73"/>
      <c r="DP61" s="73"/>
      <c r="DQ61" s="73"/>
      <c r="DR61" s="73"/>
      <c r="DS61" s="73"/>
      <c r="DT61" s="73"/>
      <c r="DU61" s="74"/>
      <c r="DV61" s="74"/>
      <c r="DW61" s="74"/>
      <c r="DX61" s="74"/>
      <c r="DY61" s="74"/>
      <c r="DZ61" s="74"/>
      <c r="EA61" s="82"/>
    </row>
    <row r="62" ht="21.75" customHeight="1">
      <c r="A62" s="64"/>
      <c r="B62" s="70"/>
      <c r="C62" s="71"/>
      <c r="D62" s="71"/>
      <c r="E62" s="71"/>
      <c r="F62" s="78" t="s">
        <v>51</v>
      </c>
      <c r="G62" s="73"/>
      <c r="H62" s="73"/>
      <c r="I62" s="73"/>
      <c r="J62" s="73"/>
      <c r="K62" s="73"/>
      <c r="L62" s="73"/>
      <c r="M62" s="79">
        <f t="shared" ref="M62:O62" si="278">M63+M64</f>
        <v>251.30903</v>
      </c>
      <c r="N62" s="79">
        <f t="shared" si="278"/>
        <v>0</v>
      </c>
      <c r="O62" s="79">
        <f t="shared" si="278"/>
        <v>251.30903</v>
      </c>
      <c r="P62" s="79"/>
      <c r="Q62" s="79"/>
      <c r="R62" s="79"/>
      <c r="S62" s="79">
        <f t="shared" ref="S62:U62" si="279">S63+S64</f>
        <v>295.86</v>
      </c>
      <c r="T62" s="79">
        <f t="shared" si="279"/>
        <v>0</v>
      </c>
      <c r="U62" s="79">
        <f t="shared" si="279"/>
        <v>295.86</v>
      </c>
      <c r="V62" s="79"/>
      <c r="W62" s="79"/>
      <c r="X62" s="79"/>
      <c r="Y62" s="79">
        <f t="shared" ref="Y62:AA62" si="280">Y63+Y64</f>
        <v>4368.25182</v>
      </c>
      <c r="Z62" s="79">
        <f t="shared" si="280"/>
        <v>0</v>
      </c>
      <c r="AA62" s="79">
        <f t="shared" si="280"/>
        <v>4368.25182</v>
      </c>
      <c r="AB62" s="79"/>
      <c r="AC62" s="79"/>
      <c r="AD62" s="79"/>
      <c r="AE62" s="79">
        <f t="shared" ref="AE62:AG62" si="281">M62+S62+Y62</f>
        <v>4915.42085</v>
      </c>
      <c r="AF62" s="79">
        <f t="shared" si="281"/>
        <v>0</v>
      </c>
      <c r="AG62" s="79">
        <f t="shared" si="281"/>
        <v>4915.42085</v>
      </c>
      <c r="AH62" s="73"/>
      <c r="AI62" s="73"/>
      <c r="AJ62" s="73"/>
      <c r="AK62" s="79">
        <f t="shared" ref="AK62:AM62" si="282">AK63+AK64</f>
        <v>3153.94846</v>
      </c>
      <c r="AL62" s="79">
        <f t="shared" si="282"/>
        <v>0</v>
      </c>
      <c r="AM62" s="79">
        <f t="shared" si="282"/>
        <v>3153.94846</v>
      </c>
      <c r="AN62" s="73"/>
      <c r="AO62" s="73"/>
      <c r="AP62" s="73"/>
      <c r="AQ62" s="79">
        <f t="shared" ref="AQ62:AS62" si="283">AE62+AK62</f>
        <v>8069.36931</v>
      </c>
      <c r="AR62" s="79">
        <f t="shared" si="283"/>
        <v>0</v>
      </c>
      <c r="AS62" s="79">
        <f t="shared" si="283"/>
        <v>8069.36931</v>
      </c>
      <c r="AT62" s="73"/>
      <c r="AU62" s="73"/>
      <c r="AV62" s="73"/>
      <c r="AW62" s="79">
        <f t="shared" ref="AW62:AY62" si="284">AW63+AW64</f>
        <v>11948.14053</v>
      </c>
      <c r="AX62" s="79">
        <f t="shared" si="284"/>
        <v>0</v>
      </c>
      <c r="AY62" s="79">
        <f t="shared" si="284"/>
        <v>11948.14053</v>
      </c>
      <c r="AZ62" s="73"/>
      <c r="BA62" s="73"/>
      <c r="BB62" s="73"/>
      <c r="BC62" s="79">
        <f t="shared" ref="BC62:BE62" si="285">AQ62+AW62</f>
        <v>20017.50984</v>
      </c>
      <c r="BD62" s="79">
        <f t="shared" si="285"/>
        <v>0</v>
      </c>
      <c r="BE62" s="79">
        <f t="shared" si="285"/>
        <v>20017.50984</v>
      </c>
      <c r="BF62" s="73"/>
      <c r="BG62" s="73"/>
      <c r="BH62" s="73"/>
      <c r="BI62" s="73"/>
      <c r="BJ62" s="73"/>
      <c r="BK62" s="73"/>
      <c r="BL62" s="73"/>
      <c r="BM62" s="73"/>
      <c r="BN62" s="73"/>
      <c r="BO62" s="73"/>
      <c r="BP62" s="73"/>
      <c r="BQ62" s="73"/>
      <c r="BR62" s="73"/>
      <c r="BS62" s="73"/>
      <c r="BT62" s="73"/>
      <c r="BU62" s="73"/>
      <c r="BV62" s="73"/>
      <c r="BW62" s="73"/>
      <c r="BX62" s="73"/>
      <c r="BY62" s="73"/>
      <c r="BZ62" s="73"/>
      <c r="CA62" s="73"/>
      <c r="CB62" s="73"/>
      <c r="CC62" s="73"/>
      <c r="CD62" s="73"/>
      <c r="CE62" s="73"/>
      <c r="CF62" s="73"/>
      <c r="CG62" s="73"/>
      <c r="CH62" s="73"/>
      <c r="CI62" s="73"/>
      <c r="CJ62" s="73"/>
      <c r="CK62" s="73"/>
      <c r="CL62" s="73"/>
      <c r="CM62" s="73"/>
      <c r="CN62" s="73"/>
      <c r="CO62" s="73"/>
      <c r="CP62" s="73"/>
      <c r="CQ62" s="73"/>
      <c r="CR62" s="73"/>
      <c r="CS62" s="73"/>
      <c r="CT62" s="73"/>
      <c r="CU62" s="73"/>
      <c r="CV62" s="73"/>
      <c r="CW62" s="73"/>
      <c r="CX62" s="73"/>
      <c r="CY62" s="73"/>
      <c r="CZ62" s="73"/>
      <c r="DA62" s="73"/>
      <c r="DB62" s="73"/>
      <c r="DC62" s="73"/>
      <c r="DD62" s="73"/>
      <c r="DE62" s="73"/>
      <c r="DF62" s="73"/>
      <c r="DG62" s="73"/>
      <c r="DH62" s="73"/>
      <c r="DI62" s="73"/>
      <c r="DJ62" s="73"/>
      <c r="DK62" s="73"/>
      <c r="DL62" s="73"/>
      <c r="DM62" s="73"/>
      <c r="DN62" s="73"/>
      <c r="DO62" s="73"/>
      <c r="DP62" s="73"/>
      <c r="DQ62" s="73"/>
      <c r="DR62" s="73"/>
      <c r="DS62" s="73"/>
      <c r="DT62" s="73"/>
      <c r="DU62" s="74"/>
      <c r="DV62" s="74"/>
      <c r="DW62" s="74"/>
      <c r="DX62" s="74"/>
      <c r="DY62" s="74"/>
      <c r="DZ62" s="74"/>
      <c r="EA62" s="76"/>
    </row>
    <row r="63" ht="21.75" customHeight="1">
      <c r="A63" s="64"/>
      <c r="B63" s="70"/>
      <c r="C63" s="71"/>
      <c r="D63" s="71"/>
      <c r="E63" s="71"/>
      <c r="F63" s="81" t="s">
        <v>47</v>
      </c>
      <c r="G63" s="73"/>
      <c r="H63" s="73"/>
      <c r="I63" s="73"/>
      <c r="J63" s="73"/>
      <c r="K63" s="73"/>
      <c r="L63" s="73"/>
      <c r="M63" s="73">
        <v>0.0</v>
      </c>
      <c r="N63" s="73">
        <v>0.0</v>
      </c>
      <c r="O63" s="73">
        <v>0.0</v>
      </c>
      <c r="P63" s="73"/>
      <c r="Q63" s="73"/>
      <c r="R63" s="73"/>
      <c r="S63" s="73">
        <v>0.0</v>
      </c>
      <c r="T63" s="73">
        <v>0.0</v>
      </c>
      <c r="U63" s="73">
        <v>0.0</v>
      </c>
      <c r="V63" s="73"/>
      <c r="W63" s="73"/>
      <c r="X63" s="73"/>
      <c r="Y63" s="73">
        <v>51.13682</v>
      </c>
      <c r="Z63" s="73">
        <v>0.0</v>
      </c>
      <c r="AA63" s="73">
        <v>51.13682</v>
      </c>
      <c r="AB63" s="73"/>
      <c r="AC63" s="73"/>
      <c r="AD63" s="73"/>
      <c r="AE63" s="73">
        <f t="shared" ref="AE63:AG63" si="286">M63+S63+Y63</f>
        <v>51.13682</v>
      </c>
      <c r="AF63" s="73">
        <f t="shared" si="286"/>
        <v>0</v>
      </c>
      <c r="AG63" s="73">
        <f t="shared" si="286"/>
        <v>51.13682</v>
      </c>
      <c r="AH63" s="73"/>
      <c r="AI63" s="73"/>
      <c r="AJ63" s="73"/>
      <c r="AK63" s="73">
        <v>0.0</v>
      </c>
      <c r="AL63" s="73">
        <v>0.0</v>
      </c>
      <c r="AM63" s="73">
        <v>0.0</v>
      </c>
      <c r="AN63" s="73"/>
      <c r="AO63" s="73"/>
      <c r="AP63" s="73"/>
      <c r="AQ63" s="73">
        <f t="shared" ref="AQ63:AS63" si="287">AE63+AK63</f>
        <v>51.13682</v>
      </c>
      <c r="AR63" s="73">
        <f t="shared" si="287"/>
        <v>0</v>
      </c>
      <c r="AS63" s="73">
        <f t="shared" si="287"/>
        <v>51.13682</v>
      </c>
      <c r="AT63" s="73"/>
      <c r="AU63" s="73"/>
      <c r="AV63" s="73"/>
      <c r="AW63" s="73">
        <v>0.0</v>
      </c>
      <c r="AX63" s="73">
        <v>0.0</v>
      </c>
      <c r="AY63" s="73">
        <v>0.0</v>
      </c>
      <c r="AZ63" s="73"/>
      <c r="BA63" s="73"/>
      <c r="BB63" s="73"/>
      <c r="BC63" s="73">
        <f t="shared" ref="BC63:BE63" si="288">AQ63+AW63</f>
        <v>51.13682</v>
      </c>
      <c r="BD63" s="73">
        <f t="shared" si="288"/>
        <v>0</v>
      </c>
      <c r="BE63" s="73">
        <f t="shared" si="288"/>
        <v>51.13682</v>
      </c>
      <c r="BF63" s="73"/>
      <c r="BG63" s="73"/>
      <c r="BH63" s="73"/>
      <c r="BI63" s="73"/>
      <c r="BJ63" s="73"/>
      <c r="BK63" s="73"/>
      <c r="BL63" s="73"/>
      <c r="BM63" s="73"/>
      <c r="BN63" s="73"/>
      <c r="BO63" s="73"/>
      <c r="BP63" s="73"/>
      <c r="BQ63" s="73"/>
      <c r="BR63" s="73"/>
      <c r="BS63" s="73"/>
      <c r="BT63" s="73"/>
      <c r="BU63" s="73"/>
      <c r="BV63" s="73"/>
      <c r="BW63" s="73"/>
      <c r="BX63" s="73"/>
      <c r="BY63" s="73"/>
      <c r="BZ63" s="73"/>
      <c r="CA63" s="73"/>
      <c r="CB63" s="73"/>
      <c r="CC63" s="73"/>
      <c r="CD63" s="73"/>
      <c r="CE63" s="73"/>
      <c r="CF63" s="73"/>
      <c r="CG63" s="73"/>
      <c r="CH63" s="73"/>
      <c r="CI63" s="73"/>
      <c r="CJ63" s="73"/>
      <c r="CK63" s="73"/>
      <c r="CL63" s="73"/>
      <c r="CM63" s="73"/>
      <c r="CN63" s="73"/>
      <c r="CO63" s="73"/>
      <c r="CP63" s="73"/>
      <c r="CQ63" s="73"/>
      <c r="CR63" s="73"/>
      <c r="CS63" s="73"/>
      <c r="CT63" s="73"/>
      <c r="CU63" s="73"/>
      <c r="CV63" s="73"/>
      <c r="CW63" s="73"/>
      <c r="CX63" s="73"/>
      <c r="CY63" s="73"/>
      <c r="CZ63" s="73"/>
      <c r="DA63" s="73"/>
      <c r="DB63" s="73"/>
      <c r="DC63" s="73"/>
      <c r="DD63" s="73"/>
      <c r="DE63" s="73"/>
      <c r="DF63" s="73"/>
      <c r="DG63" s="73"/>
      <c r="DH63" s="73"/>
      <c r="DI63" s="73"/>
      <c r="DJ63" s="73"/>
      <c r="DK63" s="73"/>
      <c r="DL63" s="73"/>
      <c r="DM63" s="73"/>
      <c r="DN63" s="73"/>
      <c r="DO63" s="73"/>
      <c r="DP63" s="73"/>
      <c r="DQ63" s="73"/>
      <c r="DR63" s="73"/>
      <c r="DS63" s="73"/>
      <c r="DT63" s="73"/>
      <c r="DU63" s="74"/>
      <c r="DV63" s="74"/>
      <c r="DW63" s="74"/>
      <c r="DX63" s="74"/>
      <c r="DY63" s="74"/>
      <c r="DZ63" s="74"/>
      <c r="EA63" s="76"/>
    </row>
    <row r="64" ht="21.75" customHeight="1">
      <c r="A64" s="64"/>
      <c r="B64" s="70"/>
      <c r="C64" s="71"/>
      <c r="D64" s="71"/>
      <c r="E64" s="71"/>
      <c r="F64" s="81" t="s">
        <v>52</v>
      </c>
      <c r="G64" s="73"/>
      <c r="H64" s="73"/>
      <c r="I64" s="73"/>
      <c r="J64" s="73"/>
      <c r="K64" s="73"/>
      <c r="L64" s="73"/>
      <c r="M64" s="73">
        <f t="shared" ref="M64:M66" si="292">N64+O64</f>
        <v>251.30903</v>
      </c>
      <c r="N64" s="73">
        <v>0.0</v>
      </c>
      <c r="O64" s="73">
        <v>251.30903</v>
      </c>
      <c r="P64" s="73"/>
      <c r="Q64" s="73"/>
      <c r="R64" s="73"/>
      <c r="S64" s="73">
        <f t="shared" ref="S64:S66" si="294">T64+U64</f>
        <v>295.86</v>
      </c>
      <c r="T64" s="73">
        <v>0.0</v>
      </c>
      <c r="U64" s="73">
        <v>295.86</v>
      </c>
      <c r="V64" s="73"/>
      <c r="W64" s="73"/>
      <c r="X64" s="73"/>
      <c r="Y64" s="73">
        <v>4317.115</v>
      </c>
      <c r="Z64" s="73">
        <v>0.0</v>
      </c>
      <c r="AA64" s="73">
        <v>4317.115</v>
      </c>
      <c r="AB64" s="73"/>
      <c r="AC64" s="73"/>
      <c r="AD64" s="73"/>
      <c r="AE64" s="73">
        <f t="shared" ref="AE64:AG64" si="289">M64+S64+Y64</f>
        <v>4864.28403</v>
      </c>
      <c r="AF64" s="73">
        <f t="shared" si="289"/>
        <v>0</v>
      </c>
      <c r="AG64" s="73">
        <f t="shared" si="289"/>
        <v>4864.28403</v>
      </c>
      <c r="AH64" s="73"/>
      <c r="AI64" s="73"/>
      <c r="AJ64" s="73"/>
      <c r="AK64" s="73">
        <f t="shared" ref="AK64:AK66" si="296">AL64+AM64</f>
        <v>3153.94846</v>
      </c>
      <c r="AL64" s="73">
        <v>0.0</v>
      </c>
      <c r="AM64" s="73">
        <v>3153.94846</v>
      </c>
      <c r="AN64" s="73"/>
      <c r="AO64" s="73"/>
      <c r="AP64" s="73"/>
      <c r="AQ64" s="73">
        <f t="shared" ref="AQ64:AS64" si="290">AE64+AK64</f>
        <v>8018.23249</v>
      </c>
      <c r="AR64" s="73">
        <f t="shared" si="290"/>
        <v>0</v>
      </c>
      <c r="AS64" s="73">
        <f t="shared" si="290"/>
        <v>8018.23249</v>
      </c>
      <c r="AT64" s="73"/>
      <c r="AU64" s="73"/>
      <c r="AV64" s="73"/>
      <c r="AW64" s="73">
        <f>10991.29053+242.2+211.8+502.85</f>
        <v>11948.14053</v>
      </c>
      <c r="AX64" s="73">
        <v>0.0</v>
      </c>
      <c r="AY64" s="73">
        <f>10991.29053+242.2+211.8+502.85</f>
        <v>11948.14053</v>
      </c>
      <c r="AZ64" s="73"/>
      <c r="BA64" s="73"/>
      <c r="BB64" s="73"/>
      <c r="BC64" s="73">
        <f t="shared" ref="BC64:BE64" si="291">AQ64+AW64</f>
        <v>19966.37302</v>
      </c>
      <c r="BD64" s="73">
        <f t="shared" si="291"/>
        <v>0</v>
      </c>
      <c r="BE64" s="73">
        <f t="shared" si="291"/>
        <v>19966.37302</v>
      </c>
      <c r="BF64" s="73"/>
      <c r="BG64" s="73"/>
      <c r="BH64" s="73"/>
      <c r="BI64" s="73"/>
      <c r="BJ64" s="73"/>
      <c r="BK64" s="73"/>
      <c r="BL64" s="73"/>
      <c r="BM64" s="73"/>
      <c r="BN64" s="73"/>
      <c r="BO64" s="73"/>
      <c r="BP64" s="73"/>
      <c r="BQ64" s="73"/>
      <c r="BR64" s="73"/>
      <c r="BS64" s="73"/>
      <c r="BT64" s="73"/>
      <c r="BU64" s="73"/>
      <c r="BV64" s="73"/>
      <c r="BW64" s="73"/>
      <c r="BX64" s="73"/>
      <c r="BY64" s="73"/>
      <c r="BZ64" s="73"/>
      <c r="CA64" s="73"/>
      <c r="CB64" s="73"/>
      <c r="CC64" s="73"/>
      <c r="CD64" s="73"/>
      <c r="CE64" s="73"/>
      <c r="CF64" s="73"/>
      <c r="CG64" s="73"/>
      <c r="CH64" s="73"/>
      <c r="CI64" s="73"/>
      <c r="CJ64" s="73"/>
      <c r="CK64" s="73"/>
      <c r="CL64" s="73"/>
      <c r="CM64" s="73"/>
      <c r="CN64" s="73"/>
      <c r="CO64" s="73"/>
      <c r="CP64" s="73"/>
      <c r="CQ64" s="73"/>
      <c r="CR64" s="73"/>
      <c r="CS64" s="73"/>
      <c r="CT64" s="73"/>
      <c r="CU64" s="73"/>
      <c r="CV64" s="73"/>
      <c r="CW64" s="73"/>
      <c r="CX64" s="73"/>
      <c r="CY64" s="73"/>
      <c r="CZ64" s="73"/>
      <c r="DA64" s="73"/>
      <c r="DB64" s="73"/>
      <c r="DC64" s="73"/>
      <c r="DD64" s="73"/>
      <c r="DE64" s="73"/>
      <c r="DF64" s="73"/>
      <c r="DG64" s="73"/>
      <c r="DH64" s="73"/>
      <c r="DI64" s="73"/>
      <c r="DJ64" s="73"/>
      <c r="DK64" s="73"/>
      <c r="DL64" s="73"/>
      <c r="DM64" s="73"/>
      <c r="DN64" s="73"/>
      <c r="DO64" s="73"/>
      <c r="DP64" s="73"/>
      <c r="DQ64" s="73"/>
      <c r="DR64" s="73"/>
      <c r="DS64" s="73"/>
      <c r="DT64" s="73"/>
      <c r="DU64" s="74"/>
      <c r="DV64" s="74"/>
      <c r="DW64" s="72"/>
      <c r="DX64" s="72"/>
      <c r="DY64" s="72"/>
      <c r="DZ64" s="96"/>
      <c r="EA64" s="82" t="s">
        <v>79</v>
      </c>
    </row>
    <row r="65" ht="21.75" customHeight="1">
      <c r="A65" s="64"/>
      <c r="B65" s="70"/>
      <c r="C65" s="71"/>
      <c r="D65" s="71"/>
      <c r="E65" s="71"/>
      <c r="F65" s="78" t="s">
        <v>53</v>
      </c>
      <c r="G65" s="73"/>
      <c r="H65" s="73"/>
      <c r="I65" s="73"/>
      <c r="J65" s="73"/>
      <c r="K65" s="73"/>
      <c r="L65" s="73"/>
      <c r="M65" s="79">
        <f t="shared" si="292"/>
        <v>0</v>
      </c>
      <c r="N65" s="79">
        <f t="shared" ref="N65:O65" si="293">O65+P65</f>
        <v>0</v>
      </c>
      <c r="O65" s="79">
        <f t="shared" si="293"/>
        <v>0</v>
      </c>
      <c r="P65" s="79"/>
      <c r="Q65" s="79"/>
      <c r="R65" s="79"/>
      <c r="S65" s="79">
        <f t="shared" si="294"/>
        <v>0</v>
      </c>
      <c r="T65" s="79">
        <v>0.0</v>
      </c>
      <c r="U65" s="79">
        <v>0.0</v>
      </c>
      <c r="V65" s="79"/>
      <c r="W65" s="79"/>
      <c r="X65" s="79"/>
      <c r="Y65" s="79">
        <f t="shared" ref="Y65:Y66" si="300">Z65+AA65</f>
        <v>14610</v>
      </c>
      <c r="Z65" s="79">
        <v>0.0</v>
      </c>
      <c r="AA65" s="79">
        <v>14610.0</v>
      </c>
      <c r="AB65" s="79"/>
      <c r="AC65" s="79"/>
      <c r="AD65" s="79"/>
      <c r="AE65" s="79">
        <f t="shared" ref="AE65:AG65" si="295">M65+S65+Y65</f>
        <v>14610</v>
      </c>
      <c r="AF65" s="79">
        <f t="shared" si="295"/>
        <v>0</v>
      </c>
      <c r="AG65" s="79">
        <f t="shared" si="295"/>
        <v>14610</v>
      </c>
      <c r="AH65" s="73"/>
      <c r="AI65" s="73"/>
      <c r="AJ65" s="73"/>
      <c r="AK65" s="79">
        <f t="shared" si="296"/>
        <v>33486.14086</v>
      </c>
      <c r="AL65" s="79">
        <v>0.0</v>
      </c>
      <c r="AM65" s="79">
        <v>33486.14086</v>
      </c>
      <c r="AN65" s="73"/>
      <c r="AO65" s="73"/>
      <c r="AP65" s="73"/>
      <c r="AQ65" s="79">
        <f t="shared" ref="AQ65:AS65" si="297">AE65+AK65</f>
        <v>48096.14086</v>
      </c>
      <c r="AR65" s="79">
        <f t="shared" si="297"/>
        <v>0</v>
      </c>
      <c r="AS65" s="79">
        <f t="shared" si="297"/>
        <v>48096.14086</v>
      </c>
      <c r="AT65" s="73"/>
      <c r="AU65" s="73"/>
      <c r="AV65" s="73"/>
      <c r="AW65" s="79">
        <v>0.0</v>
      </c>
      <c r="AX65" s="79">
        <v>0.0</v>
      </c>
      <c r="AY65" s="79">
        <v>0.0</v>
      </c>
      <c r="AZ65" s="73"/>
      <c r="BA65" s="73"/>
      <c r="BB65" s="73"/>
      <c r="BC65" s="79">
        <f t="shared" ref="BC65:BE65" si="298">AQ65+AW65</f>
        <v>48096.14086</v>
      </c>
      <c r="BD65" s="79">
        <f t="shared" si="298"/>
        <v>0</v>
      </c>
      <c r="BE65" s="79">
        <f t="shared" si="298"/>
        <v>48096.14086</v>
      </c>
      <c r="BF65" s="73"/>
      <c r="BG65" s="73"/>
      <c r="BH65" s="73"/>
      <c r="BI65" s="73"/>
      <c r="BJ65" s="73"/>
      <c r="BK65" s="73"/>
      <c r="BL65" s="73"/>
      <c r="BM65" s="73"/>
      <c r="BN65" s="73"/>
      <c r="BO65" s="73"/>
      <c r="BP65" s="73"/>
      <c r="BQ65" s="73"/>
      <c r="BR65" s="73"/>
      <c r="BS65" s="73"/>
      <c r="BT65" s="73"/>
      <c r="BU65" s="73"/>
      <c r="BV65" s="73"/>
      <c r="BW65" s="73"/>
      <c r="BX65" s="73"/>
      <c r="BY65" s="73"/>
      <c r="BZ65" s="73"/>
      <c r="CA65" s="73"/>
      <c r="CB65" s="73"/>
      <c r="CC65" s="73"/>
      <c r="CD65" s="73"/>
      <c r="CE65" s="73"/>
      <c r="CF65" s="73"/>
      <c r="CG65" s="73"/>
      <c r="CH65" s="73"/>
      <c r="CI65" s="73"/>
      <c r="CJ65" s="73"/>
      <c r="CK65" s="73"/>
      <c r="CL65" s="73"/>
      <c r="CM65" s="73"/>
      <c r="CN65" s="73"/>
      <c r="CO65" s="73"/>
      <c r="CP65" s="73"/>
      <c r="CQ65" s="73"/>
      <c r="CR65" s="73"/>
      <c r="CS65" s="73"/>
      <c r="CT65" s="73"/>
      <c r="CU65" s="73"/>
      <c r="CV65" s="73"/>
      <c r="CW65" s="73"/>
      <c r="CX65" s="73"/>
      <c r="CY65" s="73"/>
      <c r="CZ65" s="73"/>
      <c r="DA65" s="73"/>
      <c r="DB65" s="73"/>
      <c r="DC65" s="73"/>
      <c r="DD65" s="73"/>
      <c r="DE65" s="73"/>
      <c r="DF65" s="73"/>
      <c r="DG65" s="73"/>
      <c r="DH65" s="73"/>
      <c r="DI65" s="73"/>
      <c r="DJ65" s="73"/>
      <c r="DK65" s="73"/>
      <c r="DL65" s="73"/>
      <c r="DM65" s="73"/>
      <c r="DN65" s="73"/>
      <c r="DO65" s="73"/>
      <c r="DP65" s="73"/>
      <c r="DQ65" s="73"/>
      <c r="DR65" s="73"/>
      <c r="DS65" s="73"/>
      <c r="DT65" s="73"/>
      <c r="DU65" s="74"/>
      <c r="DV65" s="74"/>
      <c r="DW65" s="72"/>
      <c r="DX65" s="72"/>
      <c r="DY65" s="72"/>
      <c r="DZ65" s="72"/>
      <c r="EA65" s="76" t="s">
        <v>80</v>
      </c>
    </row>
    <row r="66" ht="21.75" customHeight="1">
      <c r="A66" s="64"/>
      <c r="B66" s="92"/>
      <c r="C66" s="72"/>
      <c r="D66" s="71"/>
      <c r="E66" s="71"/>
      <c r="F66" s="78" t="s">
        <v>55</v>
      </c>
      <c r="G66" s="73"/>
      <c r="H66" s="73"/>
      <c r="I66" s="73"/>
      <c r="J66" s="73"/>
      <c r="K66" s="73"/>
      <c r="L66" s="73"/>
      <c r="M66" s="79">
        <f t="shared" si="292"/>
        <v>0</v>
      </c>
      <c r="N66" s="79">
        <f t="shared" ref="N66:O66" si="299">O66+P66</f>
        <v>0</v>
      </c>
      <c r="O66" s="79">
        <f t="shared" si="299"/>
        <v>0</v>
      </c>
      <c r="P66" s="79"/>
      <c r="Q66" s="79"/>
      <c r="R66" s="79"/>
      <c r="S66" s="79">
        <f t="shared" si="294"/>
        <v>0</v>
      </c>
      <c r="T66" s="79">
        <v>0.0</v>
      </c>
      <c r="U66" s="79">
        <v>0.0</v>
      </c>
      <c r="V66" s="79"/>
      <c r="W66" s="79"/>
      <c r="X66" s="79"/>
      <c r="Y66" s="79">
        <f t="shared" si="300"/>
        <v>0</v>
      </c>
      <c r="Z66" s="79">
        <v>0.0</v>
      </c>
      <c r="AA66" s="79">
        <v>0.0</v>
      </c>
      <c r="AB66" s="79"/>
      <c r="AC66" s="79"/>
      <c r="AD66" s="79"/>
      <c r="AE66" s="79">
        <f t="shared" ref="AE66:AG66" si="301">M66+S66+Y66</f>
        <v>0</v>
      </c>
      <c r="AF66" s="79">
        <f t="shared" si="301"/>
        <v>0</v>
      </c>
      <c r="AG66" s="79">
        <f t="shared" si="301"/>
        <v>0</v>
      </c>
      <c r="AH66" s="73"/>
      <c r="AI66" s="73"/>
      <c r="AJ66" s="73"/>
      <c r="AK66" s="79">
        <f t="shared" si="296"/>
        <v>0</v>
      </c>
      <c r="AL66" s="79">
        <v>0.0</v>
      </c>
      <c r="AM66" s="79">
        <v>0.0</v>
      </c>
      <c r="AN66" s="73"/>
      <c r="AO66" s="73"/>
      <c r="AP66" s="73"/>
      <c r="AQ66" s="79">
        <f t="shared" ref="AQ66:AS66" si="302">AE66+AK66</f>
        <v>0</v>
      </c>
      <c r="AR66" s="79">
        <f t="shared" si="302"/>
        <v>0</v>
      </c>
      <c r="AS66" s="79">
        <f t="shared" si="302"/>
        <v>0</v>
      </c>
      <c r="AT66" s="73"/>
      <c r="AU66" s="73"/>
      <c r="AV66" s="73"/>
      <c r="AW66" s="79">
        <v>1239.2366</v>
      </c>
      <c r="AX66" s="79">
        <v>0.0</v>
      </c>
      <c r="AY66" s="79">
        <v>1239.2366</v>
      </c>
      <c r="AZ66" s="73"/>
      <c r="BA66" s="73"/>
      <c r="BB66" s="73"/>
      <c r="BC66" s="79">
        <f t="shared" ref="BC66:BE66" si="303">AQ66+AW66</f>
        <v>1239.2366</v>
      </c>
      <c r="BD66" s="79">
        <f t="shared" si="303"/>
        <v>0</v>
      </c>
      <c r="BE66" s="79">
        <f t="shared" si="303"/>
        <v>1239.2366</v>
      </c>
      <c r="BF66" s="73"/>
      <c r="BG66" s="73"/>
      <c r="BH66" s="73"/>
      <c r="BI66" s="73"/>
      <c r="BJ66" s="73"/>
      <c r="BK66" s="73"/>
      <c r="BL66" s="73"/>
      <c r="BM66" s="73"/>
      <c r="BN66" s="73"/>
      <c r="BO66" s="73"/>
      <c r="BP66" s="73"/>
      <c r="BQ66" s="73"/>
      <c r="BR66" s="73"/>
      <c r="BS66" s="73"/>
      <c r="BT66" s="73"/>
      <c r="BU66" s="73"/>
      <c r="BV66" s="73"/>
      <c r="BW66" s="73"/>
      <c r="BX66" s="73"/>
      <c r="BY66" s="73"/>
      <c r="BZ66" s="73"/>
      <c r="CA66" s="73"/>
      <c r="CB66" s="73"/>
      <c r="CC66" s="73"/>
      <c r="CD66" s="73"/>
      <c r="CE66" s="73"/>
      <c r="CF66" s="73"/>
      <c r="CG66" s="73"/>
      <c r="CH66" s="73"/>
      <c r="CI66" s="73"/>
      <c r="CJ66" s="73"/>
      <c r="CK66" s="73"/>
      <c r="CL66" s="73"/>
      <c r="CM66" s="73"/>
      <c r="CN66" s="73"/>
      <c r="CO66" s="73"/>
      <c r="CP66" s="73"/>
      <c r="CQ66" s="73"/>
      <c r="CR66" s="73"/>
      <c r="CS66" s="73"/>
      <c r="CT66" s="73"/>
      <c r="CU66" s="73"/>
      <c r="CV66" s="73"/>
      <c r="CW66" s="73"/>
      <c r="CX66" s="73"/>
      <c r="CY66" s="73"/>
      <c r="CZ66" s="73"/>
      <c r="DA66" s="73"/>
      <c r="DB66" s="73"/>
      <c r="DC66" s="73"/>
      <c r="DD66" s="73"/>
      <c r="DE66" s="73"/>
      <c r="DF66" s="73"/>
      <c r="DG66" s="73"/>
      <c r="DH66" s="73"/>
      <c r="DI66" s="73"/>
      <c r="DJ66" s="73"/>
      <c r="DK66" s="73"/>
      <c r="DL66" s="73"/>
      <c r="DM66" s="73"/>
      <c r="DN66" s="73"/>
      <c r="DO66" s="73"/>
      <c r="DP66" s="73"/>
      <c r="DQ66" s="73"/>
      <c r="DR66" s="73"/>
      <c r="DS66" s="73"/>
      <c r="DT66" s="73"/>
      <c r="DU66" s="74"/>
      <c r="DV66" s="74"/>
      <c r="DW66" s="72"/>
      <c r="DX66" s="72"/>
      <c r="DY66" s="72"/>
      <c r="DZ66" s="75"/>
      <c r="EA66" s="76" t="s">
        <v>81</v>
      </c>
    </row>
    <row r="67" ht="21.75" customHeight="1">
      <c r="A67" s="64"/>
      <c r="B67" s="70" t="s">
        <v>40</v>
      </c>
      <c r="C67" s="71" t="s">
        <v>82</v>
      </c>
      <c r="D67" s="71" t="s">
        <v>41</v>
      </c>
      <c r="E67" s="71" t="s">
        <v>83</v>
      </c>
      <c r="F67" s="72" t="s">
        <v>84</v>
      </c>
      <c r="G67" s="73">
        <v>927503.0</v>
      </c>
      <c r="H67" s="73">
        <v>0.0</v>
      </c>
      <c r="I67" s="73">
        <v>927503.0</v>
      </c>
      <c r="J67" s="73">
        <f t="shared" ref="J67:L67" si="304">J68+J70+J73</f>
        <v>0</v>
      </c>
      <c r="K67" s="73">
        <f t="shared" si="304"/>
        <v>0</v>
      </c>
      <c r="L67" s="73">
        <f t="shared" si="304"/>
        <v>0</v>
      </c>
      <c r="M67" s="73">
        <f t="shared" ref="M67:O67" si="305">M68+M70+M73+M76+M77</f>
        <v>7210.93666</v>
      </c>
      <c r="N67" s="73">
        <f t="shared" si="305"/>
        <v>0</v>
      </c>
      <c r="O67" s="73">
        <f t="shared" si="305"/>
        <v>7210.93666</v>
      </c>
      <c r="P67" s="73">
        <f t="shared" ref="P67:R67" si="306">P68+P70+P73</f>
        <v>0</v>
      </c>
      <c r="Q67" s="73">
        <f t="shared" si="306"/>
        <v>0</v>
      </c>
      <c r="R67" s="73">
        <f t="shared" si="306"/>
        <v>0</v>
      </c>
      <c r="S67" s="73">
        <f t="shared" ref="S67:U67" si="307">S68+S70+S73+S76+S77</f>
        <v>8742.8152</v>
      </c>
      <c r="T67" s="73">
        <f t="shared" si="307"/>
        <v>0</v>
      </c>
      <c r="U67" s="73">
        <f t="shared" si="307"/>
        <v>8742.8152</v>
      </c>
      <c r="V67" s="73">
        <v>1179.0</v>
      </c>
      <c r="W67" s="73">
        <f>W68+W70+W73</f>
        <v>0</v>
      </c>
      <c r="X67" s="73">
        <v>1179.0</v>
      </c>
      <c r="Y67" s="73">
        <f t="shared" ref="Y67:AA67" si="308">Y68+Y70+Y73+Y76+Y77</f>
        <v>212072.2</v>
      </c>
      <c r="Z67" s="73">
        <f t="shared" si="308"/>
        <v>0</v>
      </c>
      <c r="AA67" s="73">
        <f t="shared" si="308"/>
        <v>212072.2</v>
      </c>
      <c r="AB67" s="73">
        <f t="shared" ref="AB67:AG67" si="309">J67+P67+V67</f>
        <v>1179</v>
      </c>
      <c r="AC67" s="73">
        <f t="shared" si="309"/>
        <v>0</v>
      </c>
      <c r="AD67" s="73">
        <f t="shared" si="309"/>
        <v>1179</v>
      </c>
      <c r="AE67" s="73">
        <f t="shared" si="309"/>
        <v>228025.9519</v>
      </c>
      <c r="AF67" s="73">
        <f t="shared" si="309"/>
        <v>0</v>
      </c>
      <c r="AG67" s="73">
        <f t="shared" si="309"/>
        <v>228025.9519</v>
      </c>
      <c r="AH67" s="73">
        <v>3996.0</v>
      </c>
      <c r="AI67" s="73">
        <v>0.0</v>
      </c>
      <c r="AJ67" s="73">
        <v>3996.0</v>
      </c>
      <c r="AK67" s="73">
        <f t="shared" ref="AK67:AM67" si="310">AK68+AK70+AK73+AK76+AK77</f>
        <v>22207.9017</v>
      </c>
      <c r="AL67" s="73">
        <f t="shared" si="310"/>
        <v>0</v>
      </c>
      <c r="AM67" s="73">
        <f t="shared" si="310"/>
        <v>22207.9017</v>
      </c>
      <c r="AN67" s="73">
        <f t="shared" ref="AN67:AS67" si="311">AB67+AH67</f>
        <v>5175</v>
      </c>
      <c r="AO67" s="73">
        <f t="shared" si="311"/>
        <v>0</v>
      </c>
      <c r="AP67" s="73">
        <f t="shared" si="311"/>
        <v>5175</v>
      </c>
      <c r="AQ67" s="73">
        <f t="shared" si="311"/>
        <v>250233.8536</v>
      </c>
      <c r="AR67" s="73">
        <f t="shared" si="311"/>
        <v>0</v>
      </c>
      <c r="AS67" s="73">
        <f t="shared" si="311"/>
        <v>250233.8536</v>
      </c>
      <c r="AT67" s="73">
        <v>5994.0</v>
      </c>
      <c r="AU67" s="73">
        <v>0.0</v>
      </c>
      <c r="AV67" s="73">
        <v>5994.0</v>
      </c>
      <c r="AW67" s="73">
        <f t="shared" ref="AW67:AY67" si="312">AW68+AW70+AW73+AW76+AW77</f>
        <v>35182.77518</v>
      </c>
      <c r="AX67" s="73">
        <f t="shared" si="312"/>
        <v>0</v>
      </c>
      <c r="AY67" s="73">
        <f t="shared" si="312"/>
        <v>35182.77518</v>
      </c>
      <c r="AZ67" s="73">
        <f t="shared" ref="AZ67:BE67" si="313">AN67+AT67</f>
        <v>11169</v>
      </c>
      <c r="BA67" s="73">
        <f t="shared" si="313"/>
        <v>0</v>
      </c>
      <c r="BB67" s="73">
        <f t="shared" si="313"/>
        <v>11169</v>
      </c>
      <c r="BC67" s="73">
        <f t="shared" si="313"/>
        <v>285416.6287</v>
      </c>
      <c r="BD67" s="73">
        <f t="shared" si="313"/>
        <v>0</v>
      </c>
      <c r="BE67" s="73">
        <f t="shared" si="313"/>
        <v>285416.6287</v>
      </c>
      <c r="BF67" s="73">
        <f t="shared" ref="BF67:DY67" si="314">BF75+BF76+BF77</f>
        <v>0</v>
      </c>
      <c r="BG67" s="73">
        <f t="shared" si="314"/>
        <v>0</v>
      </c>
      <c r="BH67" s="73">
        <f t="shared" si="314"/>
        <v>0</v>
      </c>
      <c r="BI67" s="73">
        <f t="shared" si="314"/>
        <v>0</v>
      </c>
      <c r="BJ67" s="73">
        <f t="shared" si="314"/>
        <v>0</v>
      </c>
      <c r="BK67" s="73">
        <f t="shared" si="314"/>
        <v>0</v>
      </c>
      <c r="BL67" s="73">
        <f t="shared" si="314"/>
        <v>0</v>
      </c>
      <c r="BM67" s="73">
        <f t="shared" si="314"/>
        <v>0</v>
      </c>
      <c r="BN67" s="73">
        <f t="shared" si="314"/>
        <v>0</v>
      </c>
      <c r="BO67" s="73">
        <f t="shared" si="314"/>
        <v>0</v>
      </c>
      <c r="BP67" s="73">
        <f t="shared" si="314"/>
        <v>0</v>
      </c>
      <c r="BQ67" s="73">
        <f t="shared" si="314"/>
        <v>0</v>
      </c>
      <c r="BR67" s="73">
        <f t="shared" si="314"/>
        <v>0</v>
      </c>
      <c r="BS67" s="73">
        <f t="shared" si="314"/>
        <v>0</v>
      </c>
      <c r="BT67" s="73">
        <f t="shared" si="314"/>
        <v>0</v>
      </c>
      <c r="BU67" s="73">
        <f t="shared" si="314"/>
        <v>0</v>
      </c>
      <c r="BV67" s="73">
        <f t="shared" si="314"/>
        <v>0</v>
      </c>
      <c r="BW67" s="73">
        <f t="shared" si="314"/>
        <v>0</v>
      </c>
      <c r="BX67" s="73">
        <f t="shared" si="314"/>
        <v>0</v>
      </c>
      <c r="BY67" s="73">
        <f t="shared" si="314"/>
        <v>0</v>
      </c>
      <c r="BZ67" s="73">
        <f t="shared" si="314"/>
        <v>0</v>
      </c>
      <c r="CA67" s="73">
        <f t="shared" si="314"/>
        <v>0</v>
      </c>
      <c r="CB67" s="73">
        <f t="shared" si="314"/>
        <v>0</v>
      </c>
      <c r="CC67" s="73">
        <f t="shared" si="314"/>
        <v>0</v>
      </c>
      <c r="CD67" s="73">
        <f t="shared" si="314"/>
        <v>0</v>
      </c>
      <c r="CE67" s="73">
        <f t="shared" si="314"/>
        <v>0</v>
      </c>
      <c r="CF67" s="73">
        <f t="shared" si="314"/>
        <v>0</v>
      </c>
      <c r="CG67" s="73">
        <f t="shared" si="314"/>
        <v>0</v>
      </c>
      <c r="CH67" s="73">
        <f t="shared" si="314"/>
        <v>0</v>
      </c>
      <c r="CI67" s="73">
        <f t="shared" si="314"/>
        <v>0</v>
      </c>
      <c r="CJ67" s="73">
        <f t="shared" si="314"/>
        <v>0</v>
      </c>
      <c r="CK67" s="73">
        <f t="shared" si="314"/>
        <v>0</v>
      </c>
      <c r="CL67" s="73">
        <f t="shared" si="314"/>
        <v>0</v>
      </c>
      <c r="CM67" s="73">
        <f t="shared" si="314"/>
        <v>0</v>
      </c>
      <c r="CN67" s="73">
        <f t="shared" si="314"/>
        <v>0</v>
      </c>
      <c r="CO67" s="73">
        <f t="shared" si="314"/>
        <v>0</v>
      </c>
      <c r="CP67" s="73">
        <f t="shared" si="314"/>
        <v>0</v>
      </c>
      <c r="CQ67" s="73">
        <f t="shared" si="314"/>
        <v>0</v>
      </c>
      <c r="CR67" s="73">
        <f t="shared" si="314"/>
        <v>0</v>
      </c>
      <c r="CS67" s="73">
        <f t="shared" si="314"/>
        <v>0</v>
      </c>
      <c r="CT67" s="73">
        <f t="shared" si="314"/>
        <v>0</v>
      </c>
      <c r="CU67" s="73">
        <f t="shared" si="314"/>
        <v>0</v>
      </c>
      <c r="CV67" s="73">
        <f t="shared" si="314"/>
        <v>0</v>
      </c>
      <c r="CW67" s="73">
        <f t="shared" si="314"/>
        <v>0</v>
      </c>
      <c r="CX67" s="73">
        <f t="shared" si="314"/>
        <v>0</v>
      </c>
      <c r="CY67" s="73">
        <f t="shared" si="314"/>
        <v>0</v>
      </c>
      <c r="CZ67" s="73">
        <f t="shared" si="314"/>
        <v>0</v>
      </c>
      <c r="DA67" s="73">
        <f t="shared" si="314"/>
        <v>0</v>
      </c>
      <c r="DB67" s="73">
        <f t="shared" si="314"/>
        <v>0</v>
      </c>
      <c r="DC67" s="73">
        <f t="shared" si="314"/>
        <v>0</v>
      </c>
      <c r="DD67" s="73">
        <f t="shared" si="314"/>
        <v>0</v>
      </c>
      <c r="DE67" s="73">
        <f t="shared" si="314"/>
        <v>0</v>
      </c>
      <c r="DF67" s="73">
        <f t="shared" si="314"/>
        <v>0</v>
      </c>
      <c r="DG67" s="73">
        <f t="shared" si="314"/>
        <v>0</v>
      </c>
      <c r="DH67" s="73">
        <f t="shared" si="314"/>
        <v>0</v>
      </c>
      <c r="DI67" s="73">
        <f t="shared" si="314"/>
        <v>0</v>
      </c>
      <c r="DJ67" s="73">
        <f t="shared" si="314"/>
        <v>0</v>
      </c>
      <c r="DK67" s="73">
        <f t="shared" si="314"/>
        <v>0</v>
      </c>
      <c r="DL67" s="73">
        <f t="shared" si="314"/>
        <v>0</v>
      </c>
      <c r="DM67" s="73">
        <f t="shared" si="314"/>
        <v>0</v>
      </c>
      <c r="DN67" s="73">
        <f t="shared" si="314"/>
        <v>0</v>
      </c>
      <c r="DO67" s="73">
        <f t="shared" si="314"/>
        <v>0</v>
      </c>
      <c r="DP67" s="73">
        <f t="shared" si="314"/>
        <v>0</v>
      </c>
      <c r="DQ67" s="73">
        <f t="shared" si="314"/>
        <v>0</v>
      </c>
      <c r="DR67" s="73">
        <f t="shared" si="314"/>
        <v>0</v>
      </c>
      <c r="DS67" s="73">
        <f t="shared" si="314"/>
        <v>0</v>
      </c>
      <c r="DT67" s="73">
        <f t="shared" si="314"/>
        <v>0</v>
      </c>
      <c r="DU67" s="74">
        <f t="shared" si="314"/>
        <v>0</v>
      </c>
      <c r="DV67" s="74">
        <f t="shared" si="314"/>
        <v>0</v>
      </c>
      <c r="DW67" s="74">
        <f t="shared" si="314"/>
        <v>0</v>
      </c>
      <c r="DX67" s="74">
        <f t="shared" si="314"/>
        <v>0</v>
      </c>
      <c r="DY67" s="74">
        <f t="shared" si="314"/>
        <v>0</v>
      </c>
      <c r="DZ67" s="75"/>
      <c r="EA67" s="76"/>
    </row>
    <row r="68" ht="21.75" customHeight="1">
      <c r="A68" s="64"/>
      <c r="B68" s="70"/>
      <c r="C68" s="71"/>
      <c r="D68" s="71"/>
      <c r="E68" s="71"/>
      <c r="F68" s="78" t="s">
        <v>46</v>
      </c>
      <c r="G68" s="73"/>
      <c r="H68" s="73"/>
      <c r="I68" s="73"/>
      <c r="J68" s="73"/>
      <c r="K68" s="73"/>
      <c r="L68" s="73"/>
      <c r="M68" s="79">
        <f t="shared" ref="M68:O68" si="315">M69</f>
        <v>0</v>
      </c>
      <c r="N68" s="79">
        <f t="shared" si="315"/>
        <v>0</v>
      </c>
      <c r="O68" s="79">
        <f t="shared" si="315"/>
        <v>0</v>
      </c>
      <c r="P68" s="73"/>
      <c r="Q68" s="73"/>
      <c r="R68" s="73"/>
      <c r="S68" s="79">
        <f t="shared" ref="S68:U68" si="316">S69</f>
        <v>0</v>
      </c>
      <c r="T68" s="79">
        <f t="shared" si="316"/>
        <v>0</v>
      </c>
      <c r="U68" s="79">
        <f t="shared" si="316"/>
        <v>0</v>
      </c>
      <c r="V68" s="73"/>
      <c r="W68" s="73"/>
      <c r="X68" s="73"/>
      <c r="Y68" s="79">
        <f t="shared" ref="Y68:AA68" si="317">Y69</f>
        <v>0</v>
      </c>
      <c r="Z68" s="79">
        <f t="shared" si="317"/>
        <v>0</v>
      </c>
      <c r="AA68" s="79">
        <f t="shared" si="317"/>
        <v>0</v>
      </c>
      <c r="AB68" s="73"/>
      <c r="AC68" s="73"/>
      <c r="AD68" s="73"/>
      <c r="AE68" s="79">
        <f t="shared" ref="AE68:AG68" si="318">M68+S68+Y68</f>
        <v>0</v>
      </c>
      <c r="AF68" s="79">
        <f t="shared" si="318"/>
        <v>0</v>
      </c>
      <c r="AG68" s="79">
        <f t="shared" si="318"/>
        <v>0</v>
      </c>
      <c r="AH68" s="88"/>
      <c r="AI68" s="88"/>
      <c r="AJ68" s="88"/>
      <c r="AK68" s="79">
        <f t="shared" ref="AK68:AM68" si="319">AK69</f>
        <v>0</v>
      </c>
      <c r="AL68" s="79">
        <f t="shared" si="319"/>
        <v>0</v>
      </c>
      <c r="AM68" s="79">
        <f t="shared" si="319"/>
        <v>0</v>
      </c>
      <c r="AN68" s="73"/>
      <c r="AO68" s="73"/>
      <c r="AP68" s="73"/>
      <c r="AQ68" s="79">
        <f t="shared" ref="AQ68:AS68" si="320">AE68+AK68</f>
        <v>0</v>
      </c>
      <c r="AR68" s="79">
        <f t="shared" si="320"/>
        <v>0</v>
      </c>
      <c r="AS68" s="79">
        <f t="shared" si="320"/>
        <v>0</v>
      </c>
      <c r="AT68" s="88"/>
      <c r="AU68" s="88"/>
      <c r="AV68" s="88"/>
      <c r="AW68" s="79">
        <v>0.0</v>
      </c>
      <c r="AX68" s="79">
        <v>0.0</v>
      </c>
      <c r="AY68" s="79">
        <v>0.0</v>
      </c>
      <c r="AZ68" s="88"/>
      <c r="BA68" s="88"/>
      <c r="BB68" s="88"/>
      <c r="BC68" s="79">
        <f t="shared" ref="BC68:BE68" si="321">AQ68+AW68</f>
        <v>0</v>
      </c>
      <c r="BD68" s="79">
        <f t="shared" si="321"/>
        <v>0</v>
      </c>
      <c r="BE68" s="79">
        <f t="shared" si="321"/>
        <v>0</v>
      </c>
      <c r="BF68" s="88"/>
      <c r="BG68" s="88"/>
      <c r="BH68" s="88"/>
      <c r="BI68" s="88"/>
      <c r="BJ68" s="88"/>
      <c r="BK68" s="88"/>
      <c r="BL68" s="88"/>
      <c r="BM68" s="88"/>
      <c r="BN68" s="88"/>
      <c r="BO68" s="88"/>
      <c r="BP68" s="88"/>
      <c r="BQ68" s="88"/>
      <c r="BR68" s="88"/>
      <c r="BS68" s="88"/>
      <c r="BT68" s="88"/>
      <c r="BU68" s="88"/>
      <c r="BV68" s="88"/>
      <c r="BW68" s="88"/>
      <c r="BX68" s="88"/>
      <c r="BY68" s="88"/>
      <c r="BZ68" s="88"/>
      <c r="CA68" s="88"/>
      <c r="CB68" s="88"/>
      <c r="CC68" s="88"/>
      <c r="CD68" s="88"/>
      <c r="CE68" s="88"/>
      <c r="CF68" s="88"/>
      <c r="CG68" s="88"/>
      <c r="CH68" s="88"/>
      <c r="CI68" s="88"/>
      <c r="CJ68" s="88"/>
      <c r="CK68" s="88"/>
      <c r="CL68" s="88"/>
      <c r="CM68" s="88"/>
      <c r="CN68" s="88"/>
      <c r="CO68" s="88"/>
      <c r="CP68" s="88"/>
      <c r="CQ68" s="88"/>
      <c r="CR68" s="88"/>
      <c r="CS68" s="88"/>
      <c r="CT68" s="88"/>
      <c r="CU68" s="88"/>
      <c r="CV68" s="88"/>
      <c r="CW68" s="88"/>
      <c r="CX68" s="88"/>
      <c r="CY68" s="88"/>
      <c r="CZ68" s="88"/>
      <c r="DA68" s="88"/>
      <c r="DB68" s="88"/>
      <c r="DC68" s="88"/>
      <c r="DD68" s="88"/>
      <c r="DE68" s="88"/>
      <c r="DF68" s="88"/>
      <c r="DG68" s="88"/>
      <c r="DH68" s="88"/>
      <c r="DI68" s="88"/>
      <c r="DJ68" s="88"/>
      <c r="DK68" s="88"/>
      <c r="DL68" s="88"/>
      <c r="DM68" s="88"/>
      <c r="DN68" s="88"/>
      <c r="DO68" s="88"/>
      <c r="DP68" s="88"/>
      <c r="DQ68" s="88"/>
      <c r="DR68" s="88"/>
      <c r="DS68" s="88"/>
      <c r="DT68" s="88"/>
      <c r="DU68" s="89"/>
      <c r="DV68" s="89"/>
      <c r="DW68" s="89"/>
      <c r="DX68" s="89"/>
      <c r="DY68" s="89"/>
      <c r="DZ68" s="75"/>
      <c r="EA68" s="76"/>
    </row>
    <row r="69" ht="21.75" customHeight="1">
      <c r="A69" s="64"/>
      <c r="B69" s="70"/>
      <c r="C69" s="71"/>
      <c r="D69" s="71"/>
      <c r="E69" s="71"/>
      <c r="F69" s="81" t="s">
        <v>47</v>
      </c>
      <c r="G69" s="73"/>
      <c r="H69" s="73"/>
      <c r="I69" s="73"/>
      <c r="J69" s="73"/>
      <c r="K69" s="73"/>
      <c r="L69" s="73"/>
      <c r="M69" s="73">
        <v>0.0</v>
      </c>
      <c r="N69" s="73">
        <v>0.0</v>
      </c>
      <c r="O69" s="73">
        <v>0.0</v>
      </c>
      <c r="P69" s="73"/>
      <c r="Q69" s="73"/>
      <c r="R69" s="73"/>
      <c r="S69" s="73">
        <f>T69+U69</f>
        <v>0</v>
      </c>
      <c r="T69" s="73">
        <v>0.0</v>
      </c>
      <c r="U69" s="73">
        <v>0.0</v>
      </c>
      <c r="V69" s="73"/>
      <c r="W69" s="73"/>
      <c r="X69" s="73"/>
      <c r="Y69" s="73">
        <f>Z69+AA69</f>
        <v>0</v>
      </c>
      <c r="Z69" s="73">
        <v>0.0</v>
      </c>
      <c r="AA69" s="73">
        <v>0.0</v>
      </c>
      <c r="AB69" s="73"/>
      <c r="AC69" s="73"/>
      <c r="AD69" s="73"/>
      <c r="AE69" s="73">
        <f t="shared" ref="AE69:AG69" si="322">M69+S69+Y69</f>
        <v>0</v>
      </c>
      <c r="AF69" s="73">
        <f t="shared" si="322"/>
        <v>0</v>
      </c>
      <c r="AG69" s="73">
        <f t="shared" si="322"/>
        <v>0</v>
      </c>
      <c r="AH69" s="88"/>
      <c r="AI69" s="88"/>
      <c r="AJ69" s="88"/>
      <c r="AK69" s="73">
        <f>AL69+AM69</f>
        <v>0</v>
      </c>
      <c r="AL69" s="73">
        <v>0.0</v>
      </c>
      <c r="AM69" s="73">
        <v>0.0</v>
      </c>
      <c r="AN69" s="73"/>
      <c r="AO69" s="73"/>
      <c r="AP69" s="73"/>
      <c r="AQ69" s="73">
        <f t="shared" ref="AQ69:AS69" si="323">AE69+AK69</f>
        <v>0</v>
      </c>
      <c r="AR69" s="73">
        <f t="shared" si="323"/>
        <v>0</v>
      </c>
      <c r="AS69" s="73">
        <f t="shared" si="323"/>
        <v>0</v>
      </c>
      <c r="AT69" s="88"/>
      <c r="AU69" s="88"/>
      <c r="AV69" s="88"/>
      <c r="AW69" s="73">
        <v>0.0</v>
      </c>
      <c r="AX69" s="73">
        <v>0.0</v>
      </c>
      <c r="AY69" s="73">
        <v>0.0</v>
      </c>
      <c r="AZ69" s="88"/>
      <c r="BA69" s="88"/>
      <c r="BB69" s="88"/>
      <c r="BC69" s="73">
        <f t="shared" ref="BC69:BE69" si="324">AQ69+AW69</f>
        <v>0</v>
      </c>
      <c r="BD69" s="73">
        <f t="shared" si="324"/>
        <v>0</v>
      </c>
      <c r="BE69" s="73">
        <f t="shared" si="324"/>
        <v>0</v>
      </c>
      <c r="BF69" s="88"/>
      <c r="BG69" s="88"/>
      <c r="BH69" s="88"/>
      <c r="BI69" s="88"/>
      <c r="BJ69" s="88"/>
      <c r="BK69" s="88"/>
      <c r="BL69" s="88"/>
      <c r="BM69" s="88"/>
      <c r="BN69" s="88"/>
      <c r="BO69" s="88"/>
      <c r="BP69" s="88"/>
      <c r="BQ69" s="88"/>
      <c r="BR69" s="88"/>
      <c r="BS69" s="88"/>
      <c r="BT69" s="88"/>
      <c r="BU69" s="88"/>
      <c r="BV69" s="88"/>
      <c r="BW69" s="88"/>
      <c r="BX69" s="88"/>
      <c r="BY69" s="88"/>
      <c r="BZ69" s="88"/>
      <c r="CA69" s="88"/>
      <c r="CB69" s="88"/>
      <c r="CC69" s="88"/>
      <c r="CD69" s="88"/>
      <c r="CE69" s="88"/>
      <c r="CF69" s="88"/>
      <c r="CG69" s="88"/>
      <c r="CH69" s="88"/>
      <c r="CI69" s="88"/>
      <c r="CJ69" s="88"/>
      <c r="CK69" s="88"/>
      <c r="CL69" s="88"/>
      <c r="CM69" s="88"/>
      <c r="CN69" s="88"/>
      <c r="CO69" s="88"/>
      <c r="CP69" s="88"/>
      <c r="CQ69" s="88"/>
      <c r="CR69" s="88"/>
      <c r="CS69" s="88"/>
      <c r="CT69" s="88"/>
      <c r="CU69" s="88"/>
      <c r="CV69" s="88"/>
      <c r="CW69" s="88"/>
      <c r="CX69" s="88"/>
      <c r="CY69" s="88"/>
      <c r="CZ69" s="88"/>
      <c r="DA69" s="88"/>
      <c r="DB69" s="88"/>
      <c r="DC69" s="88"/>
      <c r="DD69" s="88"/>
      <c r="DE69" s="88"/>
      <c r="DF69" s="88"/>
      <c r="DG69" s="88"/>
      <c r="DH69" s="88"/>
      <c r="DI69" s="88"/>
      <c r="DJ69" s="88"/>
      <c r="DK69" s="88"/>
      <c r="DL69" s="88"/>
      <c r="DM69" s="88"/>
      <c r="DN69" s="88"/>
      <c r="DO69" s="88"/>
      <c r="DP69" s="88"/>
      <c r="DQ69" s="88"/>
      <c r="DR69" s="88"/>
      <c r="DS69" s="88"/>
      <c r="DT69" s="88"/>
      <c r="DU69" s="89"/>
      <c r="DV69" s="89"/>
      <c r="DW69" s="89"/>
      <c r="DX69" s="89"/>
      <c r="DY69" s="89"/>
      <c r="DZ69" s="75"/>
      <c r="EA69" s="76"/>
    </row>
    <row r="70" ht="21.75" customHeight="1">
      <c r="A70" s="64"/>
      <c r="B70" s="70"/>
      <c r="C70" s="71"/>
      <c r="D70" s="71"/>
      <c r="E70" s="71"/>
      <c r="F70" s="78" t="s">
        <v>48</v>
      </c>
      <c r="G70" s="73"/>
      <c r="H70" s="73"/>
      <c r="I70" s="73"/>
      <c r="J70" s="73"/>
      <c r="K70" s="73"/>
      <c r="L70" s="73"/>
      <c r="M70" s="79">
        <f t="shared" ref="M70:O70" si="325">M71+M72</f>
        <v>7214.9991</v>
      </c>
      <c r="N70" s="79">
        <f t="shared" si="325"/>
        <v>0</v>
      </c>
      <c r="O70" s="79">
        <f t="shared" si="325"/>
        <v>7214.9991</v>
      </c>
      <c r="P70" s="73"/>
      <c r="Q70" s="73"/>
      <c r="R70" s="73"/>
      <c r="S70" s="79">
        <f t="shared" ref="S70:U70" si="326">S71+S72</f>
        <v>7228.49438</v>
      </c>
      <c r="T70" s="79">
        <f t="shared" si="326"/>
        <v>0</v>
      </c>
      <c r="U70" s="79">
        <f t="shared" si="326"/>
        <v>7228.49438</v>
      </c>
      <c r="V70" s="79"/>
      <c r="W70" s="79"/>
      <c r="X70" s="79"/>
      <c r="Y70" s="79">
        <f t="shared" ref="Y70:AA70" si="327">Y71+Y72</f>
        <v>4256</v>
      </c>
      <c r="Z70" s="79">
        <f t="shared" si="327"/>
        <v>0</v>
      </c>
      <c r="AA70" s="79">
        <f t="shared" si="327"/>
        <v>4256</v>
      </c>
      <c r="AB70" s="79"/>
      <c r="AC70" s="79"/>
      <c r="AD70" s="79"/>
      <c r="AE70" s="79">
        <f t="shared" ref="AE70:AG70" si="328">M70+S70+Y70</f>
        <v>18699.49348</v>
      </c>
      <c r="AF70" s="79">
        <f t="shared" si="328"/>
        <v>0</v>
      </c>
      <c r="AG70" s="79">
        <f t="shared" si="328"/>
        <v>18699.49348</v>
      </c>
      <c r="AH70" s="88"/>
      <c r="AI70" s="88"/>
      <c r="AJ70" s="88"/>
      <c r="AK70" s="79">
        <f t="shared" ref="AK70:AM70" si="329">AK71+AK72</f>
        <v>8601.13198</v>
      </c>
      <c r="AL70" s="79">
        <f t="shared" si="329"/>
        <v>0</v>
      </c>
      <c r="AM70" s="79">
        <f t="shared" si="329"/>
        <v>8601.13198</v>
      </c>
      <c r="AN70" s="73"/>
      <c r="AO70" s="73"/>
      <c r="AP70" s="73"/>
      <c r="AQ70" s="79">
        <f t="shared" ref="AQ70:AS70" si="330">AE70+AK70</f>
        <v>27300.62546</v>
      </c>
      <c r="AR70" s="79">
        <f t="shared" si="330"/>
        <v>0</v>
      </c>
      <c r="AS70" s="79">
        <f t="shared" si="330"/>
        <v>27300.62546</v>
      </c>
      <c r="AT70" s="88"/>
      <c r="AU70" s="88"/>
      <c r="AV70" s="88"/>
      <c r="AW70" s="79">
        <f t="shared" ref="AW70:AY70" si="331">AW71+AW72</f>
        <v>3056.11401</v>
      </c>
      <c r="AX70" s="79">
        <f t="shared" si="331"/>
        <v>0</v>
      </c>
      <c r="AY70" s="79">
        <f t="shared" si="331"/>
        <v>3056.11401</v>
      </c>
      <c r="AZ70" s="88"/>
      <c r="BA70" s="88"/>
      <c r="BB70" s="88"/>
      <c r="BC70" s="79">
        <f t="shared" ref="BC70:BE70" si="332">AQ70+AW70</f>
        <v>30356.73947</v>
      </c>
      <c r="BD70" s="79">
        <f t="shared" si="332"/>
        <v>0</v>
      </c>
      <c r="BE70" s="79">
        <f t="shared" si="332"/>
        <v>30356.73947</v>
      </c>
      <c r="BF70" s="88"/>
      <c r="BG70" s="88"/>
      <c r="BH70" s="88"/>
      <c r="BI70" s="88"/>
      <c r="BJ70" s="88"/>
      <c r="BK70" s="88"/>
      <c r="BL70" s="88"/>
      <c r="BM70" s="88"/>
      <c r="BN70" s="88"/>
      <c r="BO70" s="88"/>
      <c r="BP70" s="88"/>
      <c r="BQ70" s="88"/>
      <c r="BR70" s="88"/>
      <c r="BS70" s="88"/>
      <c r="BT70" s="88"/>
      <c r="BU70" s="88"/>
      <c r="BV70" s="88"/>
      <c r="BW70" s="88"/>
      <c r="BX70" s="88"/>
      <c r="BY70" s="88"/>
      <c r="BZ70" s="88"/>
      <c r="CA70" s="88"/>
      <c r="CB70" s="88"/>
      <c r="CC70" s="88"/>
      <c r="CD70" s="88"/>
      <c r="CE70" s="88"/>
      <c r="CF70" s="88"/>
      <c r="CG70" s="88"/>
      <c r="CH70" s="88"/>
      <c r="CI70" s="88"/>
      <c r="CJ70" s="88"/>
      <c r="CK70" s="88"/>
      <c r="CL70" s="88"/>
      <c r="CM70" s="88"/>
      <c r="CN70" s="88"/>
      <c r="CO70" s="88"/>
      <c r="CP70" s="88"/>
      <c r="CQ70" s="88"/>
      <c r="CR70" s="88"/>
      <c r="CS70" s="88"/>
      <c r="CT70" s="88"/>
      <c r="CU70" s="88"/>
      <c r="CV70" s="88"/>
      <c r="CW70" s="88"/>
      <c r="CX70" s="88"/>
      <c r="CY70" s="88"/>
      <c r="CZ70" s="88"/>
      <c r="DA70" s="88"/>
      <c r="DB70" s="88"/>
      <c r="DC70" s="88"/>
      <c r="DD70" s="88"/>
      <c r="DE70" s="88"/>
      <c r="DF70" s="88"/>
      <c r="DG70" s="88"/>
      <c r="DH70" s="88"/>
      <c r="DI70" s="88"/>
      <c r="DJ70" s="88"/>
      <c r="DK70" s="88"/>
      <c r="DL70" s="88"/>
      <c r="DM70" s="88"/>
      <c r="DN70" s="88"/>
      <c r="DO70" s="88"/>
      <c r="DP70" s="88"/>
      <c r="DQ70" s="88"/>
      <c r="DR70" s="88"/>
      <c r="DS70" s="88"/>
      <c r="DT70" s="88"/>
      <c r="DU70" s="89"/>
      <c r="DV70" s="89"/>
      <c r="DW70" s="89"/>
      <c r="DX70" s="89"/>
      <c r="DY70" s="89"/>
      <c r="DZ70" s="75"/>
      <c r="EA70" s="82"/>
    </row>
    <row r="71" ht="21.75" customHeight="1">
      <c r="A71" s="64"/>
      <c r="B71" s="70"/>
      <c r="C71" s="71"/>
      <c r="D71" s="71"/>
      <c r="E71" s="71"/>
      <c r="F71" s="81" t="s">
        <v>47</v>
      </c>
      <c r="G71" s="73"/>
      <c r="H71" s="73"/>
      <c r="I71" s="73"/>
      <c r="J71" s="73"/>
      <c r="K71" s="73"/>
      <c r="L71" s="73"/>
      <c r="M71" s="73">
        <f>N71+O71</f>
        <v>7214.9991</v>
      </c>
      <c r="N71" s="73">
        <v>0.0</v>
      </c>
      <c r="O71" s="73">
        <v>7214.9991</v>
      </c>
      <c r="P71" s="73"/>
      <c r="Q71" s="73"/>
      <c r="R71" s="73"/>
      <c r="S71" s="73">
        <f>T71+U71</f>
        <v>7228.49438</v>
      </c>
      <c r="T71" s="73">
        <v>0.0</v>
      </c>
      <c r="U71" s="73">
        <v>7228.49438</v>
      </c>
      <c r="V71" s="73"/>
      <c r="W71" s="73"/>
      <c r="X71" s="73"/>
      <c r="Y71" s="73">
        <v>4260.59346</v>
      </c>
      <c r="Z71" s="73">
        <v>0.0</v>
      </c>
      <c r="AA71" s="73">
        <v>4260.59346</v>
      </c>
      <c r="AB71" s="73"/>
      <c r="AC71" s="73"/>
      <c r="AD71" s="73"/>
      <c r="AE71" s="73">
        <f t="shared" ref="AE71:AG71" si="333">M71+S71+Y71</f>
        <v>18704.08694</v>
      </c>
      <c r="AF71" s="73">
        <f t="shared" si="333"/>
        <v>0</v>
      </c>
      <c r="AG71" s="73">
        <f t="shared" si="333"/>
        <v>18704.08694</v>
      </c>
      <c r="AH71" s="88"/>
      <c r="AI71" s="88"/>
      <c r="AJ71" s="88"/>
      <c r="AK71" s="73">
        <v>8653.95501</v>
      </c>
      <c r="AL71" s="73">
        <v>0.0</v>
      </c>
      <c r="AM71" s="73">
        <v>8653.95501</v>
      </c>
      <c r="AN71" s="73"/>
      <c r="AO71" s="73"/>
      <c r="AP71" s="73"/>
      <c r="AQ71" s="73">
        <f t="shared" ref="AQ71:AS71" si="334">AE71+AK71</f>
        <v>27358.04195</v>
      </c>
      <c r="AR71" s="73">
        <f t="shared" si="334"/>
        <v>0</v>
      </c>
      <c r="AS71" s="73">
        <f t="shared" si="334"/>
        <v>27358.04195</v>
      </c>
      <c r="AT71" s="88"/>
      <c r="AU71" s="88"/>
      <c r="AV71" s="88"/>
      <c r="AW71" s="73">
        <f>813.01596+2292.48673</f>
        <v>3105.50269</v>
      </c>
      <c r="AX71" s="73">
        <v>0.0</v>
      </c>
      <c r="AY71" s="73">
        <f>813.01596+2292.48673</f>
        <v>3105.50269</v>
      </c>
      <c r="AZ71" s="88"/>
      <c r="BA71" s="88"/>
      <c r="BB71" s="88"/>
      <c r="BC71" s="73">
        <f t="shared" ref="BC71:BE71" si="335">AQ71+AW71</f>
        <v>30463.54464</v>
      </c>
      <c r="BD71" s="73">
        <f t="shared" si="335"/>
        <v>0</v>
      </c>
      <c r="BE71" s="73">
        <f t="shared" si="335"/>
        <v>30463.54464</v>
      </c>
      <c r="BF71" s="88"/>
      <c r="BG71" s="88"/>
      <c r="BH71" s="88"/>
      <c r="BI71" s="88"/>
      <c r="BJ71" s="88"/>
      <c r="BK71" s="88"/>
      <c r="BL71" s="88"/>
      <c r="BM71" s="88"/>
      <c r="BN71" s="88"/>
      <c r="BO71" s="88"/>
      <c r="BP71" s="88"/>
      <c r="BQ71" s="88"/>
      <c r="BR71" s="88"/>
      <c r="BS71" s="88"/>
      <c r="BT71" s="88"/>
      <c r="BU71" s="88"/>
      <c r="BV71" s="88"/>
      <c r="BW71" s="88"/>
      <c r="BX71" s="88"/>
      <c r="BY71" s="88"/>
      <c r="BZ71" s="88"/>
      <c r="CA71" s="88"/>
      <c r="CB71" s="88"/>
      <c r="CC71" s="88"/>
      <c r="CD71" s="88"/>
      <c r="CE71" s="88"/>
      <c r="CF71" s="88"/>
      <c r="CG71" s="88"/>
      <c r="CH71" s="88"/>
      <c r="CI71" s="88"/>
      <c r="CJ71" s="88"/>
      <c r="CK71" s="88"/>
      <c r="CL71" s="88"/>
      <c r="CM71" s="88"/>
      <c r="CN71" s="88"/>
      <c r="CO71" s="88"/>
      <c r="CP71" s="88"/>
      <c r="CQ71" s="88"/>
      <c r="CR71" s="88"/>
      <c r="CS71" s="88"/>
      <c r="CT71" s="88"/>
      <c r="CU71" s="88"/>
      <c r="CV71" s="88"/>
      <c r="CW71" s="88"/>
      <c r="CX71" s="88"/>
      <c r="CY71" s="88"/>
      <c r="CZ71" s="88"/>
      <c r="DA71" s="88"/>
      <c r="DB71" s="88"/>
      <c r="DC71" s="88"/>
      <c r="DD71" s="88"/>
      <c r="DE71" s="88"/>
      <c r="DF71" s="88"/>
      <c r="DG71" s="88"/>
      <c r="DH71" s="88"/>
      <c r="DI71" s="88"/>
      <c r="DJ71" s="88"/>
      <c r="DK71" s="88"/>
      <c r="DL71" s="88"/>
      <c r="DM71" s="88"/>
      <c r="DN71" s="88"/>
      <c r="DO71" s="88"/>
      <c r="DP71" s="88"/>
      <c r="DQ71" s="88"/>
      <c r="DR71" s="88"/>
      <c r="DS71" s="88"/>
      <c r="DT71" s="88"/>
      <c r="DU71" s="89"/>
      <c r="DV71" s="89"/>
      <c r="DW71" s="89"/>
      <c r="DX71" s="89"/>
      <c r="DY71" s="89"/>
      <c r="DZ71" s="75"/>
      <c r="EA71" s="82" t="s">
        <v>85</v>
      </c>
    </row>
    <row r="72" ht="21.75" customHeight="1">
      <c r="A72" s="64"/>
      <c r="B72" s="70"/>
      <c r="C72" s="71"/>
      <c r="D72" s="71"/>
      <c r="E72" s="71"/>
      <c r="F72" s="81" t="s">
        <v>50</v>
      </c>
      <c r="G72" s="73"/>
      <c r="H72" s="73"/>
      <c r="I72" s="73"/>
      <c r="J72" s="73"/>
      <c r="K72" s="73"/>
      <c r="L72" s="73"/>
      <c r="M72" s="73">
        <v>0.0</v>
      </c>
      <c r="N72" s="73">
        <v>0.0</v>
      </c>
      <c r="O72" s="73">
        <v>0.0</v>
      </c>
      <c r="P72" s="73"/>
      <c r="Q72" s="73"/>
      <c r="R72" s="73"/>
      <c r="S72" s="73">
        <v>0.0</v>
      </c>
      <c r="T72" s="73">
        <v>0.0</v>
      </c>
      <c r="U72" s="73">
        <v>0.0</v>
      </c>
      <c r="V72" s="73"/>
      <c r="W72" s="73"/>
      <c r="X72" s="73"/>
      <c r="Y72" s="73">
        <v>-4.59346000000005</v>
      </c>
      <c r="Z72" s="73">
        <v>0.0</v>
      </c>
      <c r="AA72" s="73">
        <v>-4.59346000000005</v>
      </c>
      <c r="AB72" s="73"/>
      <c r="AC72" s="73"/>
      <c r="AD72" s="73"/>
      <c r="AE72" s="73">
        <f t="shared" ref="AE72:AG72" si="336">M72+S72+Y72</f>
        <v>-4.59346</v>
      </c>
      <c r="AF72" s="73">
        <f t="shared" si="336"/>
        <v>0</v>
      </c>
      <c r="AG72" s="73">
        <f t="shared" si="336"/>
        <v>-4.59346</v>
      </c>
      <c r="AH72" s="88"/>
      <c r="AI72" s="88"/>
      <c r="AJ72" s="88"/>
      <c r="AK72" s="73">
        <v>-52.82302999999956</v>
      </c>
      <c r="AL72" s="73">
        <v>0.0</v>
      </c>
      <c r="AM72" s="73">
        <v>-52.82302999999956</v>
      </c>
      <c r="AN72" s="73"/>
      <c r="AO72" s="73"/>
      <c r="AP72" s="73"/>
      <c r="AQ72" s="73">
        <f t="shared" ref="AQ72:AS72" si="337">AE72+AK72</f>
        <v>-57.41649</v>
      </c>
      <c r="AR72" s="73">
        <f t="shared" si="337"/>
        <v>0</v>
      </c>
      <c r="AS72" s="73">
        <f t="shared" si="337"/>
        <v>-57.41649</v>
      </c>
      <c r="AT72" s="88"/>
      <c r="AU72" s="88"/>
      <c r="AV72" s="88"/>
      <c r="AW72" s="73">
        <v>-49.38868</v>
      </c>
      <c r="AX72" s="73">
        <v>0.0</v>
      </c>
      <c r="AY72" s="73">
        <v>-49.38868</v>
      </c>
      <c r="AZ72" s="88"/>
      <c r="BA72" s="88"/>
      <c r="BB72" s="88"/>
      <c r="BC72" s="73">
        <f t="shared" ref="BC72:BE72" si="338">AQ72+AW72</f>
        <v>-106.80517</v>
      </c>
      <c r="BD72" s="73">
        <f t="shared" si="338"/>
        <v>0</v>
      </c>
      <c r="BE72" s="73">
        <f t="shared" si="338"/>
        <v>-106.80517</v>
      </c>
      <c r="BF72" s="88"/>
      <c r="BG72" s="88"/>
      <c r="BH72" s="88"/>
      <c r="BI72" s="88"/>
      <c r="BJ72" s="88"/>
      <c r="BK72" s="88"/>
      <c r="BL72" s="88"/>
      <c r="BM72" s="88"/>
      <c r="BN72" s="88"/>
      <c r="BO72" s="88"/>
      <c r="BP72" s="88"/>
      <c r="BQ72" s="88"/>
      <c r="BR72" s="88"/>
      <c r="BS72" s="88"/>
      <c r="BT72" s="88"/>
      <c r="BU72" s="88"/>
      <c r="BV72" s="88"/>
      <c r="BW72" s="88"/>
      <c r="BX72" s="88"/>
      <c r="BY72" s="88"/>
      <c r="BZ72" s="88"/>
      <c r="CA72" s="88"/>
      <c r="CB72" s="88"/>
      <c r="CC72" s="88"/>
      <c r="CD72" s="88"/>
      <c r="CE72" s="88"/>
      <c r="CF72" s="88"/>
      <c r="CG72" s="88"/>
      <c r="CH72" s="88"/>
      <c r="CI72" s="88"/>
      <c r="CJ72" s="88"/>
      <c r="CK72" s="88"/>
      <c r="CL72" s="88"/>
      <c r="CM72" s="88"/>
      <c r="CN72" s="88"/>
      <c r="CO72" s="88"/>
      <c r="CP72" s="88"/>
      <c r="CQ72" s="88"/>
      <c r="CR72" s="88"/>
      <c r="CS72" s="88"/>
      <c r="CT72" s="88"/>
      <c r="CU72" s="88"/>
      <c r="CV72" s="88"/>
      <c r="CW72" s="88"/>
      <c r="CX72" s="88"/>
      <c r="CY72" s="88"/>
      <c r="CZ72" s="88"/>
      <c r="DA72" s="88"/>
      <c r="DB72" s="88"/>
      <c r="DC72" s="88"/>
      <c r="DD72" s="88"/>
      <c r="DE72" s="88"/>
      <c r="DF72" s="88"/>
      <c r="DG72" s="88"/>
      <c r="DH72" s="88"/>
      <c r="DI72" s="88"/>
      <c r="DJ72" s="88"/>
      <c r="DK72" s="88"/>
      <c r="DL72" s="88"/>
      <c r="DM72" s="88"/>
      <c r="DN72" s="88"/>
      <c r="DO72" s="88"/>
      <c r="DP72" s="88"/>
      <c r="DQ72" s="88"/>
      <c r="DR72" s="88"/>
      <c r="DS72" s="88"/>
      <c r="DT72" s="88"/>
      <c r="DU72" s="89"/>
      <c r="DV72" s="89"/>
      <c r="DW72" s="89"/>
      <c r="DX72" s="89"/>
      <c r="DY72" s="89"/>
      <c r="DZ72" s="75"/>
      <c r="EA72" s="82"/>
    </row>
    <row r="73" ht="21.75" customHeight="1">
      <c r="A73" s="64"/>
      <c r="B73" s="70"/>
      <c r="C73" s="71"/>
      <c r="D73" s="71"/>
      <c r="E73" s="71"/>
      <c r="F73" s="78" t="s">
        <v>51</v>
      </c>
      <c r="G73" s="73"/>
      <c r="H73" s="73"/>
      <c r="I73" s="73"/>
      <c r="J73" s="73"/>
      <c r="K73" s="73"/>
      <c r="L73" s="73"/>
      <c r="M73" s="79">
        <f t="shared" ref="M73:O73" si="339">M74+M75</f>
        <v>-4.06244</v>
      </c>
      <c r="N73" s="79">
        <f t="shared" si="339"/>
        <v>0</v>
      </c>
      <c r="O73" s="79">
        <f t="shared" si="339"/>
        <v>-4.06244</v>
      </c>
      <c r="P73" s="73"/>
      <c r="Q73" s="73"/>
      <c r="R73" s="73"/>
      <c r="S73" s="79">
        <f t="shared" ref="S73:U73" si="340">S74+S75</f>
        <v>1514.32082</v>
      </c>
      <c r="T73" s="79">
        <f t="shared" si="340"/>
        <v>0</v>
      </c>
      <c r="U73" s="79">
        <f t="shared" si="340"/>
        <v>1514.32082</v>
      </c>
      <c r="V73" s="73"/>
      <c r="W73" s="73"/>
      <c r="X73" s="73"/>
      <c r="Y73" s="79">
        <f t="shared" ref="Y73:AA73" si="341">Y74+Y75</f>
        <v>761.2</v>
      </c>
      <c r="Z73" s="79">
        <f t="shared" si="341"/>
        <v>0</v>
      </c>
      <c r="AA73" s="79">
        <f t="shared" si="341"/>
        <v>761.2</v>
      </c>
      <c r="AB73" s="73"/>
      <c r="AC73" s="73"/>
      <c r="AD73" s="73"/>
      <c r="AE73" s="79">
        <f t="shared" ref="AE73:AG73" si="342">M73+S73+Y73</f>
        <v>2271.45838</v>
      </c>
      <c r="AF73" s="79">
        <f t="shared" si="342"/>
        <v>0</v>
      </c>
      <c r="AG73" s="79">
        <f t="shared" si="342"/>
        <v>2271.45838</v>
      </c>
      <c r="AH73" s="73"/>
      <c r="AI73" s="73"/>
      <c r="AJ73" s="73"/>
      <c r="AK73" s="79">
        <f t="shared" ref="AK73:AM73" si="343">AK74+AK75</f>
        <v>1060.675</v>
      </c>
      <c r="AL73" s="79">
        <f t="shared" si="343"/>
        <v>0</v>
      </c>
      <c r="AM73" s="79">
        <f t="shared" si="343"/>
        <v>1060.675</v>
      </c>
      <c r="AN73" s="73"/>
      <c r="AO73" s="73"/>
      <c r="AP73" s="73"/>
      <c r="AQ73" s="79">
        <f t="shared" ref="AQ73:AS73" si="344">AE73+AK73</f>
        <v>3332.13338</v>
      </c>
      <c r="AR73" s="79">
        <f t="shared" si="344"/>
        <v>0</v>
      </c>
      <c r="AS73" s="79">
        <f t="shared" si="344"/>
        <v>3332.13338</v>
      </c>
      <c r="AT73" s="73"/>
      <c r="AU73" s="73"/>
      <c r="AV73" s="73"/>
      <c r="AW73" s="79">
        <f t="shared" ref="AW73:AY73" si="345">AW74+AW75</f>
        <v>644.425</v>
      </c>
      <c r="AX73" s="79">
        <f t="shared" si="345"/>
        <v>0</v>
      </c>
      <c r="AY73" s="79">
        <f t="shared" si="345"/>
        <v>644.425</v>
      </c>
      <c r="AZ73" s="73"/>
      <c r="BA73" s="73"/>
      <c r="BB73" s="73"/>
      <c r="BC73" s="79">
        <f t="shared" ref="BC73:BE73" si="346">AQ73+AW73</f>
        <v>3976.55838</v>
      </c>
      <c r="BD73" s="79">
        <f t="shared" si="346"/>
        <v>0</v>
      </c>
      <c r="BE73" s="79">
        <f t="shared" si="346"/>
        <v>3976.55838</v>
      </c>
      <c r="BF73" s="73">
        <f t="shared" ref="BF73:DY73" si="347">BF75+BF76+BF77</f>
        <v>0</v>
      </c>
      <c r="BG73" s="73">
        <f t="shared" si="347"/>
        <v>0</v>
      </c>
      <c r="BH73" s="73">
        <f t="shared" si="347"/>
        <v>0</v>
      </c>
      <c r="BI73" s="73">
        <f t="shared" si="347"/>
        <v>0</v>
      </c>
      <c r="BJ73" s="73">
        <f t="shared" si="347"/>
        <v>0</v>
      </c>
      <c r="BK73" s="73">
        <f t="shared" si="347"/>
        <v>0</v>
      </c>
      <c r="BL73" s="73">
        <f t="shared" si="347"/>
        <v>0</v>
      </c>
      <c r="BM73" s="73">
        <f t="shared" si="347"/>
        <v>0</v>
      </c>
      <c r="BN73" s="73">
        <f t="shared" si="347"/>
        <v>0</v>
      </c>
      <c r="BO73" s="73">
        <f t="shared" si="347"/>
        <v>0</v>
      </c>
      <c r="BP73" s="73">
        <f t="shared" si="347"/>
        <v>0</v>
      </c>
      <c r="BQ73" s="73">
        <f t="shared" si="347"/>
        <v>0</v>
      </c>
      <c r="BR73" s="73">
        <f t="shared" si="347"/>
        <v>0</v>
      </c>
      <c r="BS73" s="73">
        <f t="shared" si="347"/>
        <v>0</v>
      </c>
      <c r="BT73" s="73">
        <f t="shared" si="347"/>
        <v>0</v>
      </c>
      <c r="BU73" s="73">
        <f t="shared" si="347"/>
        <v>0</v>
      </c>
      <c r="BV73" s="73">
        <f t="shared" si="347"/>
        <v>0</v>
      </c>
      <c r="BW73" s="73">
        <f t="shared" si="347"/>
        <v>0</v>
      </c>
      <c r="BX73" s="73">
        <f t="shared" si="347"/>
        <v>0</v>
      </c>
      <c r="BY73" s="73">
        <f t="shared" si="347"/>
        <v>0</v>
      </c>
      <c r="BZ73" s="73">
        <f t="shared" si="347"/>
        <v>0</v>
      </c>
      <c r="CA73" s="73">
        <f t="shared" si="347"/>
        <v>0</v>
      </c>
      <c r="CB73" s="73">
        <f t="shared" si="347"/>
        <v>0</v>
      </c>
      <c r="CC73" s="73">
        <f t="shared" si="347"/>
        <v>0</v>
      </c>
      <c r="CD73" s="73">
        <f t="shared" si="347"/>
        <v>0</v>
      </c>
      <c r="CE73" s="73">
        <f t="shared" si="347"/>
        <v>0</v>
      </c>
      <c r="CF73" s="73">
        <f t="shared" si="347"/>
        <v>0</v>
      </c>
      <c r="CG73" s="73">
        <f t="shared" si="347"/>
        <v>0</v>
      </c>
      <c r="CH73" s="73">
        <f t="shared" si="347"/>
        <v>0</v>
      </c>
      <c r="CI73" s="73">
        <f t="shared" si="347"/>
        <v>0</v>
      </c>
      <c r="CJ73" s="73">
        <f t="shared" si="347"/>
        <v>0</v>
      </c>
      <c r="CK73" s="73">
        <f t="shared" si="347"/>
        <v>0</v>
      </c>
      <c r="CL73" s="73">
        <f t="shared" si="347"/>
        <v>0</v>
      </c>
      <c r="CM73" s="73">
        <f t="shared" si="347"/>
        <v>0</v>
      </c>
      <c r="CN73" s="73">
        <f t="shared" si="347"/>
        <v>0</v>
      </c>
      <c r="CO73" s="73">
        <f t="shared" si="347"/>
        <v>0</v>
      </c>
      <c r="CP73" s="73">
        <f t="shared" si="347"/>
        <v>0</v>
      </c>
      <c r="CQ73" s="73">
        <f t="shared" si="347"/>
        <v>0</v>
      </c>
      <c r="CR73" s="73">
        <f t="shared" si="347"/>
        <v>0</v>
      </c>
      <c r="CS73" s="73">
        <f t="shared" si="347"/>
        <v>0</v>
      </c>
      <c r="CT73" s="73">
        <f t="shared" si="347"/>
        <v>0</v>
      </c>
      <c r="CU73" s="73">
        <f t="shared" si="347"/>
        <v>0</v>
      </c>
      <c r="CV73" s="73">
        <f t="shared" si="347"/>
        <v>0</v>
      </c>
      <c r="CW73" s="73">
        <f t="shared" si="347"/>
        <v>0</v>
      </c>
      <c r="CX73" s="73">
        <f t="shared" si="347"/>
        <v>0</v>
      </c>
      <c r="CY73" s="73">
        <f t="shared" si="347"/>
        <v>0</v>
      </c>
      <c r="CZ73" s="73">
        <f t="shared" si="347"/>
        <v>0</v>
      </c>
      <c r="DA73" s="73">
        <f t="shared" si="347"/>
        <v>0</v>
      </c>
      <c r="DB73" s="73">
        <f t="shared" si="347"/>
        <v>0</v>
      </c>
      <c r="DC73" s="73">
        <f t="shared" si="347"/>
        <v>0</v>
      </c>
      <c r="DD73" s="73">
        <f t="shared" si="347"/>
        <v>0</v>
      </c>
      <c r="DE73" s="73">
        <f t="shared" si="347"/>
        <v>0</v>
      </c>
      <c r="DF73" s="73">
        <f t="shared" si="347"/>
        <v>0</v>
      </c>
      <c r="DG73" s="73">
        <f t="shared" si="347"/>
        <v>0</v>
      </c>
      <c r="DH73" s="73">
        <f t="shared" si="347"/>
        <v>0</v>
      </c>
      <c r="DI73" s="73">
        <f t="shared" si="347"/>
        <v>0</v>
      </c>
      <c r="DJ73" s="73">
        <f t="shared" si="347"/>
        <v>0</v>
      </c>
      <c r="DK73" s="73">
        <f t="shared" si="347"/>
        <v>0</v>
      </c>
      <c r="DL73" s="73">
        <f t="shared" si="347"/>
        <v>0</v>
      </c>
      <c r="DM73" s="73">
        <f t="shared" si="347"/>
        <v>0</v>
      </c>
      <c r="DN73" s="73">
        <f t="shared" si="347"/>
        <v>0</v>
      </c>
      <c r="DO73" s="73">
        <f t="shared" si="347"/>
        <v>0</v>
      </c>
      <c r="DP73" s="73">
        <f t="shared" si="347"/>
        <v>0</v>
      </c>
      <c r="DQ73" s="73">
        <f t="shared" si="347"/>
        <v>0</v>
      </c>
      <c r="DR73" s="73">
        <f t="shared" si="347"/>
        <v>0</v>
      </c>
      <c r="DS73" s="73">
        <f t="shared" si="347"/>
        <v>0</v>
      </c>
      <c r="DT73" s="73">
        <f t="shared" si="347"/>
        <v>0</v>
      </c>
      <c r="DU73" s="73">
        <f t="shared" si="347"/>
        <v>0</v>
      </c>
      <c r="DV73" s="73">
        <f t="shared" si="347"/>
        <v>0</v>
      </c>
      <c r="DW73" s="73">
        <f t="shared" si="347"/>
        <v>0</v>
      </c>
      <c r="DX73" s="73">
        <f t="shared" si="347"/>
        <v>0</v>
      </c>
      <c r="DY73" s="73">
        <f t="shared" si="347"/>
        <v>0</v>
      </c>
      <c r="DZ73" s="73"/>
      <c r="EA73" s="76"/>
    </row>
    <row r="74" ht="21.75" customHeight="1">
      <c r="A74" s="64"/>
      <c r="B74" s="70"/>
      <c r="C74" s="71"/>
      <c r="D74" s="71"/>
      <c r="E74" s="71"/>
      <c r="F74" s="81" t="s">
        <v>47</v>
      </c>
      <c r="G74" s="73"/>
      <c r="H74" s="73"/>
      <c r="I74" s="73"/>
      <c r="J74" s="73"/>
      <c r="K74" s="73"/>
      <c r="L74" s="73"/>
      <c r="M74" s="73">
        <v>0.0</v>
      </c>
      <c r="N74" s="73">
        <v>0.0</v>
      </c>
      <c r="O74" s="73">
        <v>0.0</v>
      </c>
      <c r="P74" s="73"/>
      <c r="Q74" s="73"/>
      <c r="R74" s="73"/>
      <c r="S74" s="73">
        <v>0.0</v>
      </c>
      <c r="T74" s="73">
        <v>0.0</v>
      </c>
      <c r="U74" s="73">
        <v>0.0</v>
      </c>
      <c r="V74" s="73"/>
      <c r="W74" s="73"/>
      <c r="X74" s="73"/>
      <c r="Y74" s="73">
        <v>173.0</v>
      </c>
      <c r="Z74" s="73">
        <v>0.0</v>
      </c>
      <c r="AA74" s="73">
        <v>173.0</v>
      </c>
      <c r="AB74" s="73"/>
      <c r="AC74" s="73"/>
      <c r="AD74" s="73"/>
      <c r="AE74" s="73">
        <f t="shared" ref="AE74:AG74" si="348">M74+S74+Y74</f>
        <v>173</v>
      </c>
      <c r="AF74" s="73">
        <f t="shared" si="348"/>
        <v>0</v>
      </c>
      <c r="AG74" s="73">
        <f t="shared" si="348"/>
        <v>173</v>
      </c>
      <c r="AH74" s="73"/>
      <c r="AI74" s="73"/>
      <c r="AJ74" s="73"/>
      <c r="AK74" s="73">
        <v>965.525</v>
      </c>
      <c r="AL74" s="73">
        <v>0.0</v>
      </c>
      <c r="AM74" s="73">
        <v>965.525</v>
      </c>
      <c r="AN74" s="73"/>
      <c r="AO74" s="73"/>
      <c r="AP74" s="73"/>
      <c r="AQ74" s="73">
        <f t="shared" ref="AQ74:AS74" si="349">AE74+AK74</f>
        <v>1138.525</v>
      </c>
      <c r="AR74" s="73">
        <f t="shared" si="349"/>
        <v>0</v>
      </c>
      <c r="AS74" s="73">
        <f t="shared" si="349"/>
        <v>1138.525</v>
      </c>
      <c r="AT74" s="73"/>
      <c r="AU74" s="73"/>
      <c r="AV74" s="73"/>
      <c r="AW74" s="73">
        <v>155.7</v>
      </c>
      <c r="AX74" s="73">
        <v>0.0</v>
      </c>
      <c r="AY74" s="73">
        <v>155.7</v>
      </c>
      <c r="AZ74" s="73"/>
      <c r="BA74" s="73"/>
      <c r="BB74" s="73"/>
      <c r="BC74" s="73">
        <f t="shared" ref="BC74:BE74" si="350">AQ74+AW74</f>
        <v>1294.225</v>
      </c>
      <c r="BD74" s="73">
        <f t="shared" si="350"/>
        <v>0</v>
      </c>
      <c r="BE74" s="73">
        <f t="shared" si="350"/>
        <v>1294.225</v>
      </c>
      <c r="BF74" s="73"/>
      <c r="BG74" s="73"/>
      <c r="BH74" s="73"/>
      <c r="BI74" s="73"/>
      <c r="BJ74" s="73"/>
      <c r="BK74" s="73"/>
      <c r="BL74" s="73"/>
      <c r="BM74" s="73"/>
      <c r="BN74" s="73"/>
      <c r="BO74" s="73"/>
      <c r="BP74" s="73"/>
      <c r="BQ74" s="73"/>
      <c r="BR74" s="73"/>
      <c r="BS74" s="73"/>
      <c r="BT74" s="73"/>
      <c r="BU74" s="73"/>
      <c r="BV74" s="73"/>
      <c r="BW74" s="73"/>
      <c r="BX74" s="73"/>
      <c r="BY74" s="73"/>
      <c r="BZ74" s="73"/>
      <c r="CA74" s="73"/>
      <c r="CB74" s="73"/>
      <c r="CC74" s="73"/>
      <c r="CD74" s="73"/>
      <c r="CE74" s="73"/>
      <c r="CF74" s="73"/>
      <c r="CG74" s="73"/>
      <c r="CH74" s="73"/>
      <c r="CI74" s="73"/>
      <c r="CJ74" s="73"/>
      <c r="CK74" s="73"/>
      <c r="CL74" s="73"/>
      <c r="CM74" s="73"/>
      <c r="CN74" s="73"/>
      <c r="CO74" s="73"/>
      <c r="CP74" s="73"/>
      <c r="CQ74" s="73"/>
      <c r="CR74" s="73"/>
      <c r="CS74" s="73"/>
      <c r="CT74" s="73"/>
      <c r="CU74" s="73"/>
      <c r="CV74" s="73"/>
      <c r="CW74" s="73"/>
      <c r="CX74" s="73"/>
      <c r="CY74" s="73"/>
      <c r="CZ74" s="73"/>
      <c r="DA74" s="73"/>
      <c r="DB74" s="73"/>
      <c r="DC74" s="73"/>
      <c r="DD74" s="73"/>
      <c r="DE74" s="73"/>
      <c r="DF74" s="73"/>
      <c r="DG74" s="73"/>
      <c r="DH74" s="73"/>
      <c r="DI74" s="73"/>
      <c r="DJ74" s="73"/>
      <c r="DK74" s="73"/>
      <c r="DL74" s="73"/>
      <c r="DM74" s="73"/>
      <c r="DN74" s="73"/>
      <c r="DO74" s="73"/>
      <c r="DP74" s="73"/>
      <c r="DQ74" s="73"/>
      <c r="DR74" s="73"/>
      <c r="DS74" s="73"/>
      <c r="DT74" s="73"/>
      <c r="DU74" s="73"/>
      <c r="DV74" s="73"/>
      <c r="DW74" s="73"/>
      <c r="DX74" s="73"/>
      <c r="DY74" s="73"/>
      <c r="DZ74" s="73"/>
      <c r="EA74" s="82" t="s">
        <v>86</v>
      </c>
    </row>
    <row r="75" ht="21.75" customHeight="1">
      <c r="A75" s="64"/>
      <c r="B75" s="70"/>
      <c r="C75" s="71"/>
      <c r="D75" s="71"/>
      <c r="E75" s="71"/>
      <c r="F75" s="81" t="s">
        <v>52</v>
      </c>
      <c r="G75" s="73"/>
      <c r="H75" s="73"/>
      <c r="I75" s="73"/>
      <c r="J75" s="73"/>
      <c r="K75" s="73"/>
      <c r="L75" s="73"/>
      <c r="M75" s="73">
        <f t="shared" ref="M75:M77" si="354">N75+O75</f>
        <v>-4.06244</v>
      </c>
      <c r="N75" s="73">
        <v>0.0</v>
      </c>
      <c r="O75" s="73">
        <v>-4.06244</v>
      </c>
      <c r="P75" s="73"/>
      <c r="Q75" s="73"/>
      <c r="R75" s="73"/>
      <c r="S75" s="73">
        <f t="shared" ref="S75:S77" si="356">T75+U75</f>
        <v>1514.32082</v>
      </c>
      <c r="T75" s="73">
        <v>0.0</v>
      </c>
      <c r="U75" s="73">
        <v>1514.32082</v>
      </c>
      <c r="V75" s="73"/>
      <c r="W75" s="73"/>
      <c r="X75" s="73"/>
      <c r="Y75" s="73">
        <v>588.2</v>
      </c>
      <c r="Z75" s="73">
        <v>0.0</v>
      </c>
      <c r="AA75" s="73">
        <v>588.2</v>
      </c>
      <c r="AB75" s="73"/>
      <c r="AC75" s="73"/>
      <c r="AD75" s="73"/>
      <c r="AE75" s="73">
        <f t="shared" ref="AE75:AG75" si="351">M75+S75+Y75</f>
        <v>2098.45838</v>
      </c>
      <c r="AF75" s="73">
        <f t="shared" si="351"/>
        <v>0</v>
      </c>
      <c r="AG75" s="73">
        <f t="shared" si="351"/>
        <v>2098.45838</v>
      </c>
      <c r="AH75" s="73"/>
      <c r="AI75" s="73"/>
      <c r="AJ75" s="73"/>
      <c r="AK75" s="73">
        <v>95.15</v>
      </c>
      <c r="AL75" s="73">
        <v>0.0</v>
      </c>
      <c r="AM75" s="73">
        <v>95.15</v>
      </c>
      <c r="AN75" s="73"/>
      <c r="AO75" s="73"/>
      <c r="AP75" s="73"/>
      <c r="AQ75" s="73">
        <f t="shared" ref="AQ75:AS75" si="352">AE75+AK75</f>
        <v>2193.60838</v>
      </c>
      <c r="AR75" s="73">
        <f t="shared" si="352"/>
        <v>0</v>
      </c>
      <c r="AS75" s="73">
        <f t="shared" si="352"/>
        <v>2193.60838</v>
      </c>
      <c r="AT75" s="73"/>
      <c r="AU75" s="73"/>
      <c r="AV75" s="73"/>
      <c r="AW75" s="73">
        <f>147.05+341.675</f>
        <v>488.725</v>
      </c>
      <c r="AX75" s="73">
        <v>0.0</v>
      </c>
      <c r="AY75" s="73">
        <f>147.05+341.675</f>
        <v>488.725</v>
      </c>
      <c r="AZ75" s="73"/>
      <c r="BA75" s="73"/>
      <c r="BB75" s="73"/>
      <c r="BC75" s="73">
        <f t="shared" ref="BC75:BE75" si="353">AQ75+AW75</f>
        <v>2682.33338</v>
      </c>
      <c r="BD75" s="73">
        <f t="shared" si="353"/>
        <v>0</v>
      </c>
      <c r="BE75" s="73">
        <f t="shared" si="353"/>
        <v>2682.33338</v>
      </c>
      <c r="BF75" s="73"/>
      <c r="BG75" s="73"/>
      <c r="BH75" s="73"/>
      <c r="BI75" s="73"/>
      <c r="BJ75" s="73"/>
      <c r="BK75" s="73"/>
      <c r="BL75" s="73"/>
      <c r="BM75" s="73"/>
      <c r="BN75" s="73"/>
      <c r="BO75" s="73"/>
      <c r="BP75" s="73"/>
      <c r="BQ75" s="73"/>
      <c r="BR75" s="73"/>
      <c r="BS75" s="73"/>
      <c r="BT75" s="73"/>
      <c r="BU75" s="73"/>
      <c r="BV75" s="73"/>
      <c r="BW75" s="73"/>
      <c r="BX75" s="73"/>
      <c r="BY75" s="73"/>
      <c r="BZ75" s="73"/>
      <c r="CA75" s="73"/>
      <c r="CB75" s="73"/>
      <c r="CC75" s="73"/>
      <c r="CD75" s="73"/>
      <c r="CE75" s="73"/>
      <c r="CF75" s="73"/>
      <c r="CG75" s="73"/>
      <c r="CH75" s="73"/>
      <c r="CI75" s="73"/>
      <c r="CJ75" s="73"/>
      <c r="CK75" s="73"/>
      <c r="CL75" s="73"/>
      <c r="CM75" s="73"/>
      <c r="CN75" s="73"/>
      <c r="CO75" s="73"/>
      <c r="CP75" s="73"/>
      <c r="CQ75" s="73"/>
      <c r="CR75" s="73"/>
      <c r="CS75" s="73"/>
      <c r="CT75" s="73"/>
      <c r="CU75" s="73"/>
      <c r="CV75" s="73"/>
      <c r="CW75" s="73"/>
      <c r="CX75" s="73"/>
      <c r="CY75" s="73"/>
      <c r="CZ75" s="73"/>
      <c r="DA75" s="73"/>
      <c r="DB75" s="73"/>
      <c r="DC75" s="73"/>
      <c r="DD75" s="73"/>
      <c r="DE75" s="73"/>
      <c r="DF75" s="73"/>
      <c r="DG75" s="73"/>
      <c r="DH75" s="73"/>
      <c r="DI75" s="73"/>
      <c r="DJ75" s="73"/>
      <c r="DK75" s="73"/>
      <c r="DL75" s="73"/>
      <c r="DM75" s="73"/>
      <c r="DN75" s="73"/>
      <c r="DO75" s="73"/>
      <c r="DP75" s="73"/>
      <c r="DQ75" s="73"/>
      <c r="DR75" s="73"/>
      <c r="DS75" s="73"/>
      <c r="DT75" s="73"/>
      <c r="DU75" s="74"/>
      <c r="DV75" s="74"/>
      <c r="DW75" s="72"/>
      <c r="DX75" s="72"/>
      <c r="DY75" s="72"/>
      <c r="DZ75" s="75"/>
      <c r="EA75" s="82" t="s">
        <v>87</v>
      </c>
    </row>
    <row r="76" ht="21.75" customHeight="1">
      <c r="A76" s="64"/>
      <c r="B76" s="70"/>
      <c r="C76" s="71"/>
      <c r="D76" s="71"/>
      <c r="E76" s="71"/>
      <c r="F76" s="78" t="s">
        <v>53</v>
      </c>
      <c r="G76" s="73"/>
      <c r="H76" s="73"/>
      <c r="I76" s="73"/>
      <c r="J76" s="73"/>
      <c r="K76" s="73"/>
      <c r="L76" s="73"/>
      <c r="M76" s="79">
        <f t="shared" si="354"/>
        <v>0</v>
      </c>
      <c r="N76" s="79">
        <f t="shared" ref="N76:O76" si="355">O76+P76</f>
        <v>0</v>
      </c>
      <c r="O76" s="79">
        <f t="shared" si="355"/>
        <v>0</v>
      </c>
      <c r="P76" s="73"/>
      <c r="Q76" s="73"/>
      <c r="R76" s="73"/>
      <c r="S76" s="79">
        <f t="shared" si="356"/>
        <v>0</v>
      </c>
      <c r="T76" s="79">
        <v>0.0</v>
      </c>
      <c r="U76" s="79">
        <v>0.0</v>
      </c>
      <c r="V76" s="73"/>
      <c r="W76" s="73"/>
      <c r="X76" s="73"/>
      <c r="Y76" s="79">
        <f t="shared" ref="Y76:Y77" si="361">Z76+AA76</f>
        <v>207055</v>
      </c>
      <c r="Z76" s="79">
        <v>0.0</v>
      </c>
      <c r="AA76" s="79">
        <v>207055.0</v>
      </c>
      <c r="AB76" s="73"/>
      <c r="AC76" s="73"/>
      <c r="AD76" s="73"/>
      <c r="AE76" s="79">
        <f t="shared" ref="AE76:AG76" si="357">M76+S76+Y76</f>
        <v>207055</v>
      </c>
      <c r="AF76" s="79">
        <f t="shared" si="357"/>
        <v>0</v>
      </c>
      <c r="AG76" s="79">
        <f t="shared" si="357"/>
        <v>207055</v>
      </c>
      <c r="AH76" s="73"/>
      <c r="AI76" s="73"/>
      <c r="AJ76" s="73"/>
      <c r="AK76" s="79">
        <f t="shared" ref="AK76:AK77" si="363">AL76+AM76</f>
        <v>12546.09472</v>
      </c>
      <c r="AL76" s="79">
        <v>0.0</v>
      </c>
      <c r="AM76" s="79">
        <v>12546.09472</v>
      </c>
      <c r="AN76" s="73"/>
      <c r="AO76" s="73"/>
      <c r="AP76" s="73"/>
      <c r="AQ76" s="79">
        <f t="shared" ref="AQ76:AS76" si="358">AE76+AK76</f>
        <v>219601.0947</v>
      </c>
      <c r="AR76" s="79">
        <f t="shared" si="358"/>
        <v>0</v>
      </c>
      <c r="AS76" s="79">
        <f t="shared" si="358"/>
        <v>219601.0947</v>
      </c>
      <c r="AT76" s="73"/>
      <c r="AU76" s="73"/>
      <c r="AV76" s="73"/>
      <c r="AW76" s="79">
        <f t="shared" ref="AW76:AW77" si="365">AX76+AY76</f>
        <v>25823.99941</v>
      </c>
      <c r="AX76" s="79">
        <v>0.0</v>
      </c>
      <c r="AY76" s="79">
        <v>25823.99941</v>
      </c>
      <c r="AZ76" s="73"/>
      <c r="BA76" s="73"/>
      <c r="BB76" s="73"/>
      <c r="BC76" s="79">
        <f t="shared" ref="BC76:BE76" si="359">AQ76+AW76</f>
        <v>245425.0941</v>
      </c>
      <c r="BD76" s="79">
        <f t="shared" si="359"/>
        <v>0</v>
      </c>
      <c r="BE76" s="79">
        <f t="shared" si="359"/>
        <v>245425.0941</v>
      </c>
      <c r="BF76" s="73"/>
      <c r="BG76" s="73"/>
      <c r="BH76" s="73"/>
      <c r="BI76" s="73"/>
      <c r="BJ76" s="73"/>
      <c r="BK76" s="73"/>
      <c r="BL76" s="73"/>
      <c r="BM76" s="73"/>
      <c r="BN76" s="73"/>
      <c r="BO76" s="73"/>
      <c r="BP76" s="73"/>
      <c r="BQ76" s="73"/>
      <c r="BR76" s="73"/>
      <c r="BS76" s="73"/>
      <c r="BT76" s="73"/>
      <c r="BU76" s="73"/>
      <c r="BV76" s="73"/>
      <c r="BW76" s="73"/>
      <c r="BX76" s="73"/>
      <c r="BY76" s="73"/>
      <c r="BZ76" s="73"/>
      <c r="CA76" s="73"/>
      <c r="CB76" s="73"/>
      <c r="CC76" s="73"/>
      <c r="CD76" s="73"/>
      <c r="CE76" s="73"/>
      <c r="CF76" s="73"/>
      <c r="CG76" s="73"/>
      <c r="CH76" s="73"/>
      <c r="CI76" s="73"/>
      <c r="CJ76" s="73"/>
      <c r="CK76" s="73"/>
      <c r="CL76" s="73"/>
      <c r="CM76" s="73"/>
      <c r="CN76" s="73"/>
      <c r="CO76" s="73"/>
      <c r="CP76" s="73"/>
      <c r="CQ76" s="73"/>
      <c r="CR76" s="73"/>
      <c r="CS76" s="73"/>
      <c r="CT76" s="73"/>
      <c r="CU76" s="73"/>
      <c r="CV76" s="73"/>
      <c r="CW76" s="73"/>
      <c r="CX76" s="73"/>
      <c r="CY76" s="73"/>
      <c r="CZ76" s="73"/>
      <c r="DA76" s="73"/>
      <c r="DB76" s="73"/>
      <c r="DC76" s="73"/>
      <c r="DD76" s="73"/>
      <c r="DE76" s="73"/>
      <c r="DF76" s="73"/>
      <c r="DG76" s="73"/>
      <c r="DH76" s="73"/>
      <c r="DI76" s="73"/>
      <c r="DJ76" s="73"/>
      <c r="DK76" s="73"/>
      <c r="DL76" s="73"/>
      <c r="DM76" s="73"/>
      <c r="DN76" s="73"/>
      <c r="DO76" s="73"/>
      <c r="DP76" s="73"/>
      <c r="DQ76" s="73"/>
      <c r="DR76" s="73"/>
      <c r="DS76" s="73"/>
      <c r="DT76" s="73"/>
      <c r="DU76" s="74"/>
      <c r="DV76" s="74"/>
      <c r="DW76" s="72"/>
      <c r="DX76" s="72"/>
      <c r="DY76" s="72"/>
      <c r="DZ76" s="72"/>
      <c r="EA76" s="82" t="s">
        <v>88</v>
      </c>
    </row>
    <row r="77" ht="21.75" customHeight="1">
      <c r="A77" s="64"/>
      <c r="B77" s="92"/>
      <c r="C77" s="72"/>
      <c r="D77" s="71"/>
      <c r="E77" s="71"/>
      <c r="F77" s="78" t="s">
        <v>55</v>
      </c>
      <c r="G77" s="73"/>
      <c r="H77" s="73"/>
      <c r="I77" s="73"/>
      <c r="J77" s="73"/>
      <c r="K77" s="73"/>
      <c r="L77" s="73"/>
      <c r="M77" s="79">
        <f t="shared" si="354"/>
        <v>0</v>
      </c>
      <c r="N77" s="79">
        <f t="shared" ref="N77:O77" si="360">O77+P77</f>
        <v>0</v>
      </c>
      <c r="O77" s="79">
        <f t="shared" si="360"/>
        <v>0</v>
      </c>
      <c r="P77" s="73"/>
      <c r="Q77" s="73"/>
      <c r="R77" s="73"/>
      <c r="S77" s="79">
        <f t="shared" si="356"/>
        <v>0</v>
      </c>
      <c r="T77" s="79">
        <v>0.0</v>
      </c>
      <c r="U77" s="79">
        <v>0.0</v>
      </c>
      <c r="V77" s="73"/>
      <c r="W77" s="73"/>
      <c r="X77" s="73"/>
      <c r="Y77" s="79">
        <f t="shared" si="361"/>
        <v>0</v>
      </c>
      <c r="Z77" s="79">
        <v>0.0</v>
      </c>
      <c r="AA77" s="79">
        <v>0.0</v>
      </c>
      <c r="AB77" s="73"/>
      <c r="AC77" s="73"/>
      <c r="AD77" s="73"/>
      <c r="AE77" s="79">
        <f t="shared" ref="AE77:AG77" si="362">M77+S77+Y77</f>
        <v>0</v>
      </c>
      <c r="AF77" s="79">
        <f t="shared" si="362"/>
        <v>0</v>
      </c>
      <c r="AG77" s="79">
        <f t="shared" si="362"/>
        <v>0</v>
      </c>
      <c r="AH77" s="73"/>
      <c r="AI77" s="73"/>
      <c r="AJ77" s="73"/>
      <c r="AK77" s="79">
        <f t="shared" si="363"/>
        <v>0</v>
      </c>
      <c r="AL77" s="79">
        <v>0.0</v>
      </c>
      <c r="AM77" s="79">
        <v>0.0</v>
      </c>
      <c r="AN77" s="73"/>
      <c r="AO77" s="73"/>
      <c r="AP77" s="73"/>
      <c r="AQ77" s="79">
        <f t="shared" ref="AQ77:AS77" si="364">AE77+AK77</f>
        <v>0</v>
      </c>
      <c r="AR77" s="79">
        <f t="shared" si="364"/>
        <v>0</v>
      </c>
      <c r="AS77" s="79">
        <f t="shared" si="364"/>
        <v>0</v>
      </c>
      <c r="AT77" s="73"/>
      <c r="AU77" s="73"/>
      <c r="AV77" s="73"/>
      <c r="AW77" s="79">
        <f t="shared" si="365"/>
        <v>5658.23676</v>
      </c>
      <c r="AX77" s="79">
        <v>0.0</v>
      </c>
      <c r="AY77" s="79">
        <v>5658.23676</v>
      </c>
      <c r="AZ77" s="73"/>
      <c r="BA77" s="73"/>
      <c r="BB77" s="73"/>
      <c r="BC77" s="79">
        <f t="shared" ref="BC77:BE77" si="366">AQ77+AW77</f>
        <v>5658.23676</v>
      </c>
      <c r="BD77" s="79">
        <f t="shared" si="366"/>
        <v>0</v>
      </c>
      <c r="BE77" s="79">
        <f t="shared" si="366"/>
        <v>5658.23676</v>
      </c>
      <c r="BF77" s="73"/>
      <c r="BG77" s="73"/>
      <c r="BH77" s="73"/>
      <c r="BI77" s="73"/>
      <c r="BJ77" s="73"/>
      <c r="BK77" s="73"/>
      <c r="BL77" s="73"/>
      <c r="BM77" s="73"/>
      <c r="BN77" s="73"/>
      <c r="BO77" s="73"/>
      <c r="BP77" s="73"/>
      <c r="BQ77" s="73"/>
      <c r="BR77" s="73"/>
      <c r="BS77" s="73"/>
      <c r="BT77" s="73"/>
      <c r="BU77" s="73"/>
      <c r="BV77" s="73"/>
      <c r="BW77" s="73"/>
      <c r="BX77" s="73"/>
      <c r="BY77" s="73"/>
      <c r="BZ77" s="73"/>
      <c r="CA77" s="73"/>
      <c r="CB77" s="73"/>
      <c r="CC77" s="73"/>
      <c r="CD77" s="73"/>
      <c r="CE77" s="73"/>
      <c r="CF77" s="73"/>
      <c r="CG77" s="73"/>
      <c r="CH77" s="73"/>
      <c r="CI77" s="73"/>
      <c r="CJ77" s="73"/>
      <c r="CK77" s="73"/>
      <c r="CL77" s="73"/>
      <c r="CM77" s="73"/>
      <c r="CN77" s="73"/>
      <c r="CO77" s="73"/>
      <c r="CP77" s="73"/>
      <c r="CQ77" s="73"/>
      <c r="CR77" s="73"/>
      <c r="CS77" s="73"/>
      <c r="CT77" s="73"/>
      <c r="CU77" s="73"/>
      <c r="CV77" s="73"/>
      <c r="CW77" s="73"/>
      <c r="CX77" s="73"/>
      <c r="CY77" s="73"/>
      <c r="CZ77" s="73"/>
      <c r="DA77" s="73"/>
      <c r="DB77" s="73"/>
      <c r="DC77" s="73"/>
      <c r="DD77" s="73"/>
      <c r="DE77" s="73"/>
      <c r="DF77" s="73"/>
      <c r="DG77" s="73"/>
      <c r="DH77" s="73"/>
      <c r="DI77" s="73"/>
      <c r="DJ77" s="73"/>
      <c r="DK77" s="73"/>
      <c r="DL77" s="73"/>
      <c r="DM77" s="73"/>
      <c r="DN77" s="73"/>
      <c r="DO77" s="73"/>
      <c r="DP77" s="73"/>
      <c r="DQ77" s="73"/>
      <c r="DR77" s="73"/>
      <c r="DS77" s="73"/>
      <c r="DT77" s="73"/>
      <c r="DU77" s="74"/>
      <c r="DV77" s="74"/>
      <c r="DW77" s="72"/>
      <c r="DX77" s="72"/>
      <c r="DY77" s="72"/>
      <c r="DZ77" s="75"/>
      <c r="EA77" s="76" t="s">
        <v>89</v>
      </c>
    </row>
    <row r="78" ht="21.75" customHeight="1">
      <c r="A78" s="64"/>
      <c r="B78" s="70" t="s">
        <v>40</v>
      </c>
      <c r="C78" s="71" t="s">
        <v>90</v>
      </c>
      <c r="D78" s="71" t="s">
        <v>41</v>
      </c>
      <c r="E78" s="71" t="s">
        <v>83</v>
      </c>
      <c r="F78" s="72" t="s">
        <v>91</v>
      </c>
      <c r="G78" s="73">
        <v>1740340.0</v>
      </c>
      <c r="H78" s="73">
        <v>0.0</v>
      </c>
      <c r="I78" s="73">
        <v>1740340.0</v>
      </c>
      <c r="J78" s="73">
        <f t="shared" ref="J78:L78" si="367">J79+J81+J84</f>
        <v>0</v>
      </c>
      <c r="K78" s="73">
        <f t="shared" si="367"/>
        <v>0</v>
      </c>
      <c r="L78" s="73">
        <f t="shared" si="367"/>
        <v>0</v>
      </c>
      <c r="M78" s="73">
        <f t="shared" ref="M78:O78" si="368">M79+M81+M84+M87+M88</f>
        <v>7195.27097</v>
      </c>
      <c r="N78" s="73">
        <f t="shared" si="368"/>
        <v>0</v>
      </c>
      <c r="O78" s="73">
        <f t="shared" si="368"/>
        <v>7195.27097</v>
      </c>
      <c r="P78" s="73">
        <f t="shared" ref="P78:R78" si="369">P79+P81+P84</f>
        <v>0</v>
      </c>
      <c r="Q78" s="73">
        <f t="shared" si="369"/>
        <v>0</v>
      </c>
      <c r="R78" s="73">
        <f t="shared" si="369"/>
        <v>0</v>
      </c>
      <c r="S78" s="73">
        <f t="shared" ref="S78:U78" si="370">S79+S81+S84+S87+S88</f>
        <v>4854.2</v>
      </c>
      <c r="T78" s="73">
        <f t="shared" si="370"/>
        <v>0</v>
      </c>
      <c r="U78" s="73">
        <f t="shared" si="370"/>
        <v>4854.2</v>
      </c>
      <c r="V78" s="73">
        <v>2212.0</v>
      </c>
      <c r="W78" s="73">
        <f>W79+W81+W84</f>
        <v>0</v>
      </c>
      <c r="X78" s="73">
        <v>2212.0</v>
      </c>
      <c r="Y78" s="73">
        <f t="shared" ref="Y78:AA78" si="371">Y79+Y81+Y84+Y87+Y88</f>
        <v>7712.25</v>
      </c>
      <c r="Z78" s="73">
        <f t="shared" si="371"/>
        <v>0</v>
      </c>
      <c r="AA78" s="73">
        <f t="shared" si="371"/>
        <v>7712.25</v>
      </c>
      <c r="AB78" s="73">
        <f t="shared" ref="AB78:AG78" si="372">J78+P78+V78</f>
        <v>2212</v>
      </c>
      <c r="AC78" s="73">
        <f t="shared" si="372"/>
        <v>0</v>
      </c>
      <c r="AD78" s="73">
        <f t="shared" si="372"/>
        <v>2212</v>
      </c>
      <c r="AE78" s="73">
        <f t="shared" si="372"/>
        <v>19761.72097</v>
      </c>
      <c r="AF78" s="73">
        <f t="shared" si="372"/>
        <v>0</v>
      </c>
      <c r="AG78" s="73">
        <f t="shared" si="372"/>
        <v>19761.72097</v>
      </c>
      <c r="AH78" s="73">
        <f>AI78+AJ78</f>
        <v>7497</v>
      </c>
      <c r="AI78" s="73">
        <v>0.0</v>
      </c>
      <c r="AJ78" s="73">
        <v>7497.0</v>
      </c>
      <c r="AK78" s="73">
        <f t="shared" ref="AK78:AM78" si="373">AK79+AK81+AK84+AK87+AK88</f>
        <v>6050.96901</v>
      </c>
      <c r="AL78" s="73">
        <f t="shared" si="373"/>
        <v>0</v>
      </c>
      <c r="AM78" s="73">
        <f t="shared" si="373"/>
        <v>6050.96901</v>
      </c>
      <c r="AN78" s="73">
        <f t="shared" ref="AN78:AS78" si="374">AB78+AH78</f>
        <v>9709</v>
      </c>
      <c r="AO78" s="73">
        <f t="shared" si="374"/>
        <v>0</v>
      </c>
      <c r="AP78" s="73">
        <f t="shared" si="374"/>
        <v>9709</v>
      </c>
      <c r="AQ78" s="73">
        <f t="shared" si="374"/>
        <v>25812.68998</v>
      </c>
      <c r="AR78" s="73">
        <f t="shared" si="374"/>
        <v>0</v>
      </c>
      <c r="AS78" s="73">
        <f t="shared" si="374"/>
        <v>25812.68998</v>
      </c>
      <c r="AT78" s="73">
        <f>AU78+AV78</f>
        <v>11246</v>
      </c>
      <c r="AU78" s="73">
        <v>0.0</v>
      </c>
      <c r="AV78" s="73">
        <v>11246.0</v>
      </c>
      <c r="AW78" s="73">
        <f t="shared" ref="AW78:AY78" si="375">AW79+AW81+AW84+AW87+AW88</f>
        <v>9755.47063</v>
      </c>
      <c r="AX78" s="73">
        <f t="shared" si="375"/>
        <v>0</v>
      </c>
      <c r="AY78" s="73">
        <f t="shared" si="375"/>
        <v>9755.47063</v>
      </c>
      <c r="AZ78" s="73">
        <f t="shared" ref="AZ78:BE78" si="376">AN78+AT78</f>
        <v>20955</v>
      </c>
      <c r="BA78" s="73">
        <f t="shared" si="376"/>
        <v>0</v>
      </c>
      <c r="BB78" s="73">
        <f t="shared" si="376"/>
        <v>20955</v>
      </c>
      <c r="BC78" s="73">
        <f t="shared" si="376"/>
        <v>35568.16061</v>
      </c>
      <c r="BD78" s="73">
        <f t="shared" si="376"/>
        <v>0</v>
      </c>
      <c r="BE78" s="73">
        <f t="shared" si="376"/>
        <v>35568.16061</v>
      </c>
      <c r="BF78" s="73">
        <f t="shared" ref="BF78:DY78" si="377">BF79+BF81+BF84</f>
        <v>0</v>
      </c>
      <c r="BG78" s="73">
        <f t="shared" si="377"/>
        <v>0</v>
      </c>
      <c r="BH78" s="73">
        <f t="shared" si="377"/>
        <v>0</v>
      </c>
      <c r="BI78" s="73">
        <f t="shared" si="377"/>
        <v>0</v>
      </c>
      <c r="BJ78" s="73">
        <f t="shared" si="377"/>
        <v>0</v>
      </c>
      <c r="BK78" s="73">
        <f t="shared" si="377"/>
        <v>0</v>
      </c>
      <c r="BL78" s="73">
        <f t="shared" si="377"/>
        <v>0</v>
      </c>
      <c r="BM78" s="73">
        <f t="shared" si="377"/>
        <v>0</v>
      </c>
      <c r="BN78" s="73">
        <f t="shared" si="377"/>
        <v>0</v>
      </c>
      <c r="BO78" s="73">
        <f t="shared" si="377"/>
        <v>0</v>
      </c>
      <c r="BP78" s="73">
        <f t="shared" si="377"/>
        <v>0</v>
      </c>
      <c r="BQ78" s="73">
        <f t="shared" si="377"/>
        <v>0</v>
      </c>
      <c r="BR78" s="73">
        <f t="shared" si="377"/>
        <v>0</v>
      </c>
      <c r="BS78" s="73">
        <f t="shared" si="377"/>
        <v>0</v>
      </c>
      <c r="BT78" s="73">
        <f t="shared" si="377"/>
        <v>0</v>
      </c>
      <c r="BU78" s="73">
        <f t="shared" si="377"/>
        <v>0</v>
      </c>
      <c r="BV78" s="73">
        <f t="shared" si="377"/>
        <v>0</v>
      </c>
      <c r="BW78" s="73">
        <f t="shared" si="377"/>
        <v>0</v>
      </c>
      <c r="BX78" s="73">
        <f t="shared" si="377"/>
        <v>0</v>
      </c>
      <c r="BY78" s="73">
        <f t="shared" si="377"/>
        <v>0</v>
      </c>
      <c r="BZ78" s="73">
        <f t="shared" si="377"/>
        <v>0</v>
      </c>
      <c r="CA78" s="73">
        <f t="shared" si="377"/>
        <v>0</v>
      </c>
      <c r="CB78" s="73">
        <f t="shared" si="377"/>
        <v>0</v>
      </c>
      <c r="CC78" s="73">
        <f t="shared" si="377"/>
        <v>0</v>
      </c>
      <c r="CD78" s="73">
        <f t="shared" si="377"/>
        <v>0</v>
      </c>
      <c r="CE78" s="73">
        <f t="shared" si="377"/>
        <v>0</v>
      </c>
      <c r="CF78" s="73">
        <f t="shared" si="377"/>
        <v>0</v>
      </c>
      <c r="CG78" s="73">
        <f t="shared" si="377"/>
        <v>0</v>
      </c>
      <c r="CH78" s="73">
        <f t="shared" si="377"/>
        <v>0</v>
      </c>
      <c r="CI78" s="73">
        <f t="shared" si="377"/>
        <v>0</v>
      </c>
      <c r="CJ78" s="73">
        <f t="shared" si="377"/>
        <v>0</v>
      </c>
      <c r="CK78" s="73">
        <f t="shared" si="377"/>
        <v>0</v>
      </c>
      <c r="CL78" s="73">
        <f t="shared" si="377"/>
        <v>0</v>
      </c>
      <c r="CM78" s="73">
        <f t="shared" si="377"/>
        <v>0</v>
      </c>
      <c r="CN78" s="73">
        <f t="shared" si="377"/>
        <v>0</v>
      </c>
      <c r="CO78" s="73">
        <f t="shared" si="377"/>
        <v>0</v>
      </c>
      <c r="CP78" s="73">
        <f t="shared" si="377"/>
        <v>0</v>
      </c>
      <c r="CQ78" s="73">
        <f t="shared" si="377"/>
        <v>0</v>
      </c>
      <c r="CR78" s="73">
        <f t="shared" si="377"/>
        <v>0</v>
      </c>
      <c r="CS78" s="73">
        <f t="shared" si="377"/>
        <v>0</v>
      </c>
      <c r="CT78" s="73">
        <f t="shared" si="377"/>
        <v>0</v>
      </c>
      <c r="CU78" s="73">
        <f t="shared" si="377"/>
        <v>0</v>
      </c>
      <c r="CV78" s="73">
        <f t="shared" si="377"/>
        <v>0</v>
      </c>
      <c r="CW78" s="73">
        <f t="shared" si="377"/>
        <v>0</v>
      </c>
      <c r="CX78" s="73">
        <f t="shared" si="377"/>
        <v>0</v>
      </c>
      <c r="CY78" s="73">
        <f t="shared" si="377"/>
        <v>0</v>
      </c>
      <c r="CZ78" s="73">
        <f t="shared" si="377"/>
        <v>0</v>
      </c>
      <c r="DA78" s="73">
        <f t="shared" si="377"/>
        <v>0</v>
      </c>
      <c r="DB78" s="73">
        <f t="shared" si="377"/>
        <v>0</v>
      </c>
      <c r="DC78" s="73">
        <f t="shared" si="377"/>
        <v>0</v>
      </c>
      <c r="DD78" s="73">
        <f t="shared" si="377"/>
        <v>0</v>
      </c>
      <c r="DE78" s="73">
        <f t="shared" si="377"/>
        <v>0</v>
      </c>
      <c r="DF78" s="73">
        <f t="shared" si="377"/>
        <v>0</v>
      </c>
      <c r="DG78" s="73">
        <f t="shared" si="377"/>
        <v>0</v>
      </c>
      <c r="DH78" s="73">
        <f t="shared" si="377"/>
        <v>0</v>
      </c>
      <c r="DI78" s="73">
        <f t="shared" si="377"/>
        <v>0</v>
      </c>
      <c r="DJ78" s="73">
        <f t="shared" si="377"/>
        <v>0</v>
      </c>
      <c r="DK78" s="73">
        <f t="shared" si="377"/>
        <v>0</v>
      </c>
      <c r="DL78" s="73">
        <f t="shared" si="377"/>
        <v>0</v>
      </c>
      <c r="DM78" s="73">
        <f t="shared" si="377"/>
        <v>0</v>
      </c>
      <c r="DN78" s="73">
        <f t="shared" si="377"/>
        <v>0</v>
      </c>
      <c r="DO78" s="73">
        <f t="shared" si="377"/>
        <v>0</v>
      </c>
      <c r="DP78" s="73">
        <f t="shared" si="377"/>
        <v>0</v>
      </c>
      <c r="DQ78" s="73">
        <f t="shared" si="377"/>
        <v>0</v>
      </c>
      <c r="DR78" s="73">
        <f t="shared" si="377"/>
        <v>0</v>
      </c>
      <c r="DS78" s="73">
        <f t="shared" si="377"/>
        <v>0</v>
      </c>
      <c r="DT78" s="73">
        <f t="shared" si="377"/>
        <v>0</v>
      </c>
      <c r="DU78" s="73">
        <f t="shared" si="377"/>
        <v>0</v>
      </c>
      <c r="DV78" s="73">
        <f t="shared" si="377"/>
        <v>0</v>
      </c>
      <c r="DW78" s="73">
        <f t="shared" si="377"/>
        <v>0</v>
      </c>
      <c r="DX78" s="73">
        <f t="shared" si="377"/>
        <v>0</v>
      </c>
      <c r="DY78" s="73">
        <f t="shared" si="377"/>
        <v>0</v>
      </c>
      <c r="DZ78" s="73"/>
      <c r="EA78" s="76"/>
    </row>
    <row r="79" ht="21.75" customHeight="1">
      <c r="A79" s="64"/>
      <c r="B79" s="70"/>
      <c r="C79" s="71"/>
      <c r="D79" s="71"/>
      <c r="E79" s="71"/>
      <c r="F79" s="78" t="s">
        <v>46</v>
      </c>
      <c r="G79" s="73"/>
      <c r="H79" s="73"/>
      <c r="I79" s="73"/>
      <c r="J79" s="73"/>
      <c r="K79" s="73"/>
      <c r="L79" s="73"/>
      <c r="M79" s="79">
        <f>M80</f>
        <v>0</v>
      </c>
      <c r="N79" s="79">
        <v>0.0</v>
      </c>
      <c r="O79" s="79">
        <v>0.0</v>
      </c>
      <c r="P79" s="79"/>
      <c r="Q79" s="79"/>
      <c r="R79" s="79"/>
      <c r="S79" s="79">
        <f>S80</f>
        <v>0</v>
      </c>
      <c r="T79" s="79">
        <v>0.0</v>
      </c>
      <c r="U79" s="79">
        <v>0.0</v>
      </c>
      <c r="V79" s="79"/>
      <c r="W79" s="79"/>
      <c r="X79" s="79"/>
      <c r="Y79" s="93">
        <f>Y80</f>
        <v>0</v>
      </c>
      <c r="Z79" s="93">
        <v>0.0</v>
      </c>
      <c r="AA79" s="93">
        <v>0.0</v>
      </c>
      <c r="AB79" s="79"/>
      <c r="AC79" s="79"/>
      <c r="AD79" s="79"/>
      <c r="AE79" s="79">
        <f t="shared" ref="AE79:AG79" si="378">M79+S79+Y79</f>
        <v>0</v>
      </c>
      <c r="AF79" s="79">
        <f t="shared" si="378"/>
        <v>0</v>
      </c>
      <c r="AG79" s="79">
        <f t="shared" si="378"/>
        <v>0</v>
      </c>
      <c r="AH79" s="73"/>
      <c r="AI79" s="73"/>
      <c r="AJ79" s="73"/>
      <c r="AK79" s="79">
        <f>AK80</f>
        <v>0</v>
      </c>
      <c r="AL79" s="79">
        <v>0.0</v>
      </c>
      <c r="AM79" s="79">
        <v>0.0</v>
      </c>
      <c r="AN79" s="73"/>
      <c r="AO79" s="73"/>
      <c r="AP79" s="73"/>
      <c r="AQ79" s="79">
        <f t="shared" ref="AQ79:AS79" si="379">AE79+AK79</f>
        <v>0</v>
      </c>
      <c r="AR79" s="79">
        <f t="shared" si="379"/>
        <v>0</v>
      </c>
      <c r="AS79" s="79">
        <f t="shared" si="379"/>
        <v>0</v>
      </c>
      <c r="AT79" s="73"/>
      <c r="AU79" s="73"/>
      <c r="AV79" s="73"/>
      <c r="AW79" s="79">
        <v>0.0</v>
      </c>
      <c r="AX79" s="79">
        <v>0.0</v>
      </c>
      <c r="AY79" s="79">
        <v>0.0</v>
      </c>
      <c r="AZ79" s="73"/>
      <c r="BA79" s="73"/>
      <c r="BB79" s="73"/>
      <c r="BC79" s="79">
        <f t="shared" ref="BC79:BE79" si="380">AQ79+AW79</f>
        <v>0</v>
      </c>
      <c r="BD79" s="79">
        <f t="shared" si="380"/>
        <v>0</v>
      </c>
      <c r="BE79" s="79">
        <f t="shared" si="380"/>
        <v>0</v>
      </c>
      <c r="BF79" s="73"/>
      <c r="BG79" s="73"/>
      <c r="BH79" s="73"/>
      <c r="BI79" s="73"/>
      <c r="BJ79" s="73"/>
      <c r="BK79" s="73"/>
      <c r="BL79" s="73"/>
      <c r="BM79" s="73"/>
      <c r="BN79" s="73"/>
      <c r="BO79" s="73"/>
      <c r="BP79" s="73"/>
      <c r="BQ79" s="73"/>
      <c r="BR79" s="73"/>
      <c r="BS79" s="73"/>
      <c r="BT79" s="73"/>
      <c r="BU79" s="73"/>
      <c r="BV79" s="73"/>
      <c r="BW79" s="73"/>
      <c r="BX79" s="73"/>
      <c r="BY79" s="73"/>
      <c r="BZ79" s="73"/>
      <c r="CA79" s="73"/>
      <c r="CB79" s="73"/>
      <c r="CC79" s="73"/>
      <c r="CD79" s="73"/>
      <c r="CE79" s="73"/>
      <c r="CF79" s="73"/>
      <c r="CG79" s="73"/>
      <c r="CH79" s="73"/>
      <c r="CI79" s="73"/>
      <c r="CJ79" s="73"/>
      <c r="CK79" s="73"/>
      <c r="CL79" s="73"/>
      <c r="CM79" s="73"/>
      <c r="CN79" s="73"/>
      <c r="CO79" s="73"/>
      <c r="CP79" s="73"/>
      <c r="CQ79" s="73"/>
      <c r="CR79" s="73"/>
      <c r="CS79" s="73"/>
      <c r="CT79" s="73"/>
      <c r="CU79" s="73"/>
      <c r="CV79" s="73"/>
      <c r="CW79" s="73"/>
      <c r="CX79" s="73"/>
      <c r="CY79" s="73"/>
      <c r="CZ79" s="73"/>
      <c r="DA79" s="73"/>
      <c r="DB79" s="73"/>
      <c r="DC79" s="73"/>
      <c r="DD79" s="73"/>
      <c r="DE79" s="73"/>
      <c r="DF79" s="73"/>
      <c r="DG79" s="73"/>
      <c r="DH79" s="73"/>
      <c r="DI79" s="73"/>
      <c r="DJ79" s="73"/>
      <c r="DK79" s="73"/>
      <c r="DL79" s="73"/>
      <c r="DM79" s="73"/>
      <c r="DN79" s="73"/>
      <c r="DO79" s="73"/>
      <c r="DP79" s="73"/>
      <c r="DQ79" s="73"/>
      <c r="DR79" s="73"/>
      <c r="DS79" s="73"/>
      <c r="DT79" s="73"/>
      <c r="DU79" s="74"/>
      <c r="DV79" s="74"/>
      <c r="DW79" s="72"/>
      <c r="DX79" s="72"/>
      <c r="DY79" s="72"/>
      <c r="DZ79" s="75"/>
      <c r="EA79" s="82"/>
    </row>
    <row r="80" ht="21.75" customHeight="1">
      <c r="A80" s="64"/>
      <c r="B80" s="70"/>
      <c r="C80" s="71"/>
      <c r="D80" s="71"/>
      <c r="E80" s="71"/>
      <c r="F80" s="81" t="s">
        <v>47</v>
      </c>
      <c r="G80" s="73"/>
      <c r="H80" s="73"/>
      <c r="I80" s="73"/>
      <c r="J80" s="73"/>
      <c r="K80" s="73"/>
      <c r="L80" s="73"/>
      <c r="M80" s="73">
        <f>N80+O80</f>
        <v>0</v>
      </c>
      <c r="N80" s="73">
        <v>0.0</v>
      </c>
      <c r="O80" s="73">
        <v>0.0</v>
      </c>
      <c r="P80" s="73"/>
      <c r="Q80" s="73"/>
      <c r="R80" s="73"/>
      <c r="S80" s="73">
        <f>T80+U80</f>
        <v>0</v>
      </c>
      <c r="T80" s="73">
        <v>0.0</v>
      </c>
      <c r="U80" s="73">
        <v>0.0</v>
      </c>
      <c r="V80" s="73"/>
      <c r="W80" s="73"/>
      <c r="X80" s="73"/>
      <c r="Y80" s="94">
        <v>0.0</v>
      </c>
      <c r="Z80" s="94">
        <v>0.0</v>
      </c>
      <c r="AA80" s="94">
        <v>0.0</v>
      </c>
      <c r="AB80" s="73"/>
      <c r="AC80" s="73"/>
      <c r="AD80" s="73"/>
      <c r="AE80" s="73">
        <f t="shared" ref="AE80:AG80" si="381">M80+S80+Y80</f>
        <v>0</v>
      </c>
      <c r="AF80" s="73">
        <f t="shared" si="381"/>
        <v>0</v>
      </c>
      <c r="AG80" s="73">
        <f t="shared" si="381"/>
        <v>0</v>
      </c>
      <c r="AH80" s="73"/>
      <c r="AI80" s="73"/>
      <c r="AJ80" s="73"/>
      <c r="AK80" s="73">
        <v>0.0</v>
      </c>
      <c r="AL80" s="73">
        <v>0.0</v>
      </c>
      <c r="AM80" s="73">
        <v>0.0</v>
      </c>
      <c r="AN80" s="73"/>
      <c r="AO80" s="73"/>
      <c r="AP80" s="73"/>
      <c r="AQ80" s="73">
        <f t="shared" ref="AQ80:AS80" si="382">AE80+AK80</f>
        <v>0</v>
      </c>
      <c r="AR80" s="73">
        <f t="shared" si="382"/>
        <v>0</v>
      </c>
      <c r="AS80" s="73">
        <f t="shared" si="382"/>
        <v>0</v>
      </c>
      <c r="AT80" s="73"/>
      <c r="AU80" s="73"/>
      <c r="AV80" s="73"/>
      <c r="AW80" s="73">
        <v>0.0</v>
      </c>
      <c r="AX80" s="73">
        <v>0.0</v>
      </c>
      <c r="AY80" s="73">
        <v>0.0</v>
      </c>
      <c r="AZ80" s="73"/>
      <c r="BA80" s="73"/>
      <c r="BB80" s="73"/>
      <c r="BC80" s="73">
        <f t="shared" ref="BC80:BE80" si="383">AQ80+AW80</f>
        <v>0</v>
      </c>
      <c r="BD80" s="73">
        <f t="shared" si="383"/>
        <v>0</v>
      </c>
      <c r="BE80" s="73">
        <f t="shared" si="383"/>
        <v>0</v>
      </c>
      <c r="BF80" s="73"/>
      <c r="BG80" s="73"/>
      <c r="BH80" s="73"/>
      <c r="BI80" s="73"/>
      <c r="BJ80" s="73"/>
      <c r="BK80" s="73"/>
      <c r="BL80" s="73"/>
      <c r="BM80" s="73"/>
      <c r="BN80" s="73"/>
      <c r="BO80" s="73"/>
      <c r="BP80" s="73"/>
      <c r="BQ80" s="73"/>
      <c r="BR80" s="73"/>
      <c r="BS80" s="73"/>
      <c r="BT80" s="73"/>
      <c r="BU80" s="73"/>
      <c r="BV80" s="73"/>
      <c r="BW80" s="73"/>
      <c r="BX80" s="73"/>
      <c r="BY80" s="73"/>
      <c r="BZ80" s="73"/>
      <c r="CA80" s="73"/>
      <c r="CB80" s="73"/>
      <c r="CC80" s="73"/>
      <c r="CD80" s="73"/>
      <c r="CE80" s="73"/>
      <c r="CF80" s="73"/>
      <c r="CG80" s="73"/>
      <c r="CH80" s="73"/>
      <c r="CI80" s="73"/>
      <c r="CJ80" s="73"/>
      <c r="CK80" s="73"/>
      <c r="CL80" s="73"/>
      <c r="CM80" s="73"/>
      <c r="CN80" s="73"/>
      <c r="CO80" s="73"/>
      <c r="CP80" s="73"/>
      <c r="CQ80" s="73"/>
      <c r="CR80" s="73"/>
      <c r="CS80" s="73"/>
      <c r="CT80" s="73"/>
      <c r="CU80" s="73"/>
      <c r="CV80" s="73"/>
      <c r="CW80" s="73"/>
      <c r="CX80" s="73"/>
      <c r="CY80" s="73"/>
      <c r="CZ80" s="73"/>
      <c r="DA80" s="73"/>
      <c r="DB80" s="73"/>
      <c r="DC80" s="73"/>
      <c r="DD80" s="73"/>
      <c r="DE80" s="73"/>
      <c r="DF80" s="73"/>
      <c r="DG80" s="73"/>
      <c r="DH80" s="73"/>
      <c r="DI80" s="73"/>
      <c r="DJ80" s="73"/>
      <c r="DK80" s="73"/>
      <c r="DL80" s="73"/>
      <c r="DM80" s="73"/>
      <c r="DN80" s="73"/>
      <c r="DO80" s="73"/>
      <c r="DP80" s="73"/>
      <c r="DQ80" s="73"/>
      <c r="DR80" s="73"/>
      <c r="DS80" s="73"/>
      <c r="DT80" s="73"/>
      <c r="DU80" s="74"/>
      <c r="DV80" s="74"/>
      <c r="DW80" s="72"/>
      <c r="DX80" s="72"/>
      <c r="DY80" s="72"/>
      <c r="DZ80" s="75"/>
      <c r="EA80" s="82"/>
    </row>
    <row r="81" ht="21.75" customHeight="1">
      <c r="A81" s="64"/>
      <c r="B81" s="70"/>
      <c r="C81" s="71"/>
      <c r="D81" s="71"/>
      <c r="E81" s="71"/>
      <c r="F81" s="78" t="s">
        <v>48</v>
      </c>
      <c r="G81" s="73"/>
      <c r="H81" s="73"/>
      <c r="I81" s="73"/>
      <c r="J81" s="73"/>
      <c r="K81" s="73"/>
      <c r="L81" s="73"/>
      <c r="M81" s="79">
        <f t="shared" ref="M81:O81" si="384">M82+M83</f>
        <v>5423.868</v>
      </c>
      <c r="N81" s="79">
        <f t="shared" si="384"/>
        <v>0</v>
      </c>
      <c r="O81" s="79">
        <f t="shared" si="384"/>
        <v>5423.868</v>
      </c>
      <c r="P81" s="73"/>
      <c r="Q81" s="73"/>
      <c r="R81" s="73"/>
      <c r="S81" s="79">
        <f t="shared" ref="S81:U81" si="385">S82+S83</f>
        <v>1557</v>
      </c>
      <c r="T81" s="79">
        <f t="shared" si="385"/>
        <v>0</v>
      </c>
      <c r="U81" s="79">
        <f t="shared" si="385"/>
        <v>1557</v>
      </c>
      <c r="V81" s="79"/>
      <c r="W81" s="79"/>
      <c r="X81" s="79"/>
      <c r="Y81" s="93">
        <f t="shared" ref="Y81:AA81" si="386">Y82+Y83</f>
        <v>4372</v>
      </c>
      <c r="Z81" s="93">
        <f t="shared" si="386"/>
        <v>0</v>
      </c>
      <c r="AA81" s="93">
        <f t="shared" si="386"/>
        <v>4372</v>
      </c>
      <c r="AB81" s="79"/>
      <c r="AC81" s="79"/>
      <c r="AD81" s="79"/>
      <c r="AE81" s="79">
        <f t="shared" ref="AE81:AG81" si="387">M81+S81+Y81</f>
        <v>11352.868</v>
      </c>
      <c r="AF81" s="79">
        <f t="shared" si="387"/>
        <v>0</v>
      </c>
      <c r="AG81" s="79">
        <f t="shared" si="387"/>
        <v>11352.868</v>
      </c>
      <c r="AH81" s="73"/>
      <c r="AI81" s="73"/>
      <c r="AJ81" s="73"/>
      <c r="AK81" s="79">
        <f t="shared" ref="AK81:AM81" si="388">AK82+AK83</f>
        <v>3871.63765</v>
      </c>
      <c r="AL81" s="79">
        <f t="shared" si="388"/>
        <v>0</v>
      </c>
      <c r="AM81" s="79">
        <f t="shared" si="388"/>
        <v>3871.63765</v>
      </c>
      <c r="AN81" s="73"/>
      <c r="AO81" s="73"/>
      <c r="AP81" s="73"/>
      <c r="AQ81" s="79">
        <f t="shared" ref="AQ81:AS81" si="389">AE81+AK81</f>
        <v>15224.50565</v>
      </c>
      <c r="AR81" s="79">
        <f t="shared" si="389"/>
        <v>0</v>
      </c>
      <c r="AS81" s="79">
        <f t="shared" si="389"/>
        <v>15224.50565</v>
      </c>
      <c r="AT81" s="73"/>
      <c r="AU81" s="73"/>
      <c r="AV81" s="73"/>
      <c r="AW81" s="79">
        <f t="shared" ref="AW81:AY81" si="390">AW82+AW83</f>
        <v>2157.35942</v>
      </c>
      <c r="AX81" s="79">
        <f t="shared" si="390"/>
        <v>0</v>
      </c>
      <c r="AY81" s="79">
        <f t="shared" si="390"/>
        <v>2157.35942</v>
      </c>
      <c r="AZ81" s="73"/>
      <c r="BA81" s="73"/>
      <c r="BB81" s="73"/>
      <c r="BC81" s="79">
        <f t="shared" ref="BC81:BE81" si="391">AQ81+AW81</f>
        <v>17381.86507</v>
      </c>
      <c r="BD81" s="79">
        <f t="shared" si="391"/>
        <v>0</v>
      </c>
      <c r="BE81" s="79">
        <f t="shared" si="391"/>
        <v>17381.86507</v>
      </c>
      <c r="BF81" s="73"/>
      <c r="BG81" s="73"/>
      <c r="BH81" s="73"/>
      <c r="BI81" s="73"/>
      <c r="BJ81" s="73"/>
      <c r="BK81" s="73"/>
      <c r="BL81" s="73"/>
      <c r="BM81" s="73"/>
      <c r="BN81" s="73"/>
      <c r="BO81" s="73"/>
      <c r="BP81" s="73"/>
      <c r="BQ81" s="73"/>
      <c r="BR81" s="73"/>
      <c r="BS81" s="73"/>
      <c r="BT81" s="73"/>
      <c r="BU81" s="73"/>
      <c r="BV81" s="73"/>
      <c r="BW81" s="73"/>
      <c r="BX81" s="73"/>
      <c r="BY81" s="73"/>
      <c r="BZ81" s="73"/>
      <c r="CA81" s="73"/>
      <c r="CB81" s="73"/>
      <c r="CC81" s="73"/>
      <c r="CD81" s="73"/>
      <c r="CE81" s="73"/>
      <c r="CF81" s="73"/>
      <c r="CG81" s="73"/>
      <c r="CH81" s="73"/>
      <c r="CI81" s="73"/>
      <c r="CJ81" s="73"/>
      <c r="CK81" s="73"/>
      <c r="CL81" s="73"/>
      <c r="CM81" s="73"/>
      <c r="CN81" s="73"/>
      <c r="CO81" s="73"/>
      <c r="CP81" s="73"/>
      <c r="CQ81" s="73"/>
      <c r="CR81" s="73"/>
      <c r="CS81" s="73"/>
      <c r="CT81" s="73"/>
      <c r="CU81" s="73"/>
      <c r="CV81" s="73"/>
      <c r="CW81" s="73"/>
      <c r="CX81" s="73"/>
      <c r="CY81" s="73"/>
      <c r="CZ81" s="73"/>
      <c r="DA81" s="73"/>
      <c r="DB81" s="73"/>
      <c r="DC81" s="73"/>
      <c r="DD81" s="73"/>
      <c r="DE81" s="73"/>
      <c r="DF81" s="73"/>
      <c r="DG81" s="73"/>
      <c r="DH81" s="73"/>
      <c r="DI81" s="73"/>
      <c r="DJ81" s="73"/>
      <c r="DK81" s="73"/>
      <c r="DL81" s="73"/>
      <c r="DM81" s="73"/>
      <c r="DN81" s="73"/>
      <c r="DO81" s="73"/>
      <c r="DP81" s="73"/>
      <c r="DQ81" s="73"/>
      <c r="DR81" s="73"/>
      <c r="DS81" s="73"/>
      <c r="DT81" s="73"/>
      <c r="DU81" s="74"/>
      <c r="DV81" s="74"/>
      <c r="DW81" s="72"/>
      <c r="DX81" s="72"/>
      <c r="DY81" s="72"/>
      <c r="DZ81" s="75"/>
      <c r="EA81" s="82"/>
    </row>
    <row r="82" ht="21.75" customHeight="1">
      <c r="A82" s="64"/>
      <c r="B82" s="70"/>
      <c r="C82" s="71"/>
      <c r="D82" s="71"/>
      <c r="E82" s="71"/>
      <c r="F82" s="81" t="s">
        <v>47</v>
      </c>
      <c r="G82" s="73"/>
      <c r="H82" s="73"/>
      <c r="I82" s="73"/>
      <c r="J82" s="73"/>
      <c r="K82" s="73"/>
      <c r="L82" s="73"/>
      <c r="M82" s="73">
        <f>N82+O82</f>
        <v>5423.868</v>
      </c>
      <c r="N82" s="73">
        <v>0.0</v>
      </c>
      <c r="O82" s="73">
        <v>5423.868</v>
      </c>
      <c r="P82" s="73"/>
      <c r="Q82" s="73"/>
      <c r="R82" s="73"/>
      <c r="S82" s="73">
        <v>1794.50501</v>
      </c>
      <c r="T82" s="73">
        <v>0.0</v>
      </c>
      <c r="U82" s="73">
        <v>1794.50501</v>
      </c>
      <c r="V82" s="73"/>
      <c r="W82" s="73"/>
      <c r="X82" s="73"/>
      <c r="Y82" s="94">
        <v>4470.19462</v>
      </c>
      <c r="Z82" s="94">
        <v>0.0</v>
      </c>
      <c r="AA82" s="94">
        <v>4470.19462</v>
      </c>
      <c r="AB82" s="73"/>
      <c r="AC82" s="73"/>
      <c r="AD82" s="73"/>
      <c r="AE82" s="73">
        <f t="shared" ref="AE82:AG82" si="392">M82+S82+Y82</f>
        <v>11688.56763</v>
      </c>
      <c r="AF82" s="73">
        <f t="shared" si="392"/>
        <v>0</v>
      </c>
      <c r="AG82" s="73">
        <f t="shared" si="392"/>
        <v>11688.56763</v>
      </c>
      <c r="AH82" s="73"/>
      <c r="AI82" s="73"/>
      <c r="AJ82" s="73"/>
      <c r="AK82" s="73">
        <v>4105.16942</v>
      </c>
      <c r="AL82" s="73">
        <v>0.0</v>
      </c>
      <c r="AM82" s="73">
        <v>4105.16942</v>
      </c>
      <c r="AN82" s="73"/>
      <c r="AO82" s="73"/>
      <c r="AP82" s="73"/>
      <c r="AQ82" s="73">
        <f t="shared" ref="AQ82:AS82" si="393">AE82+AK82</f>
        <v>15793.73705</v>
      </c>
      <c r="AR82" s="73">
        <f t="shared" si="393"/>
        <v>0</v>
      </c>
      <c r="AS82" s="73">
        <f t="shared" si="393"/>
        <v>15793.73705</v>
      </c>
      <c r="AT82" s="73"/>
      <c r="AU82" s="73"/>
      <c r="AV82" s="73"/>
      <c r="AW82" s="73">
        <f>1098.0437+1507.35074</f>
        <v>2605.39444</v>
      </c>
      <c r="AX82" s="73">
        <v>0.0</v>
      </c>
      <c r="AY82" s="73">
        <f>1098.0437+1507.35074</f>
        <v>2605.39444</v>
      </c>
      <c r="AZ82" s="73"/>
      <c r="BA82" s="73"/>
      <c r="BB82" s="73"/>
      <c r="BC82" s="73">
        <f t="shared" ref="BC82:BE82" si="394">AQ82+AW82</f>
        <v>18399.13149</v>
      </c>
      <c r="BD82" s="73">
        <f t="shared" si="394"/>
        <v>0</v>
      </c>
      <c r="BE82" s="73">
        <f t="shared" si="394"/>
        <v>18399.13149</v>
      </c>
      <c r="BF82" s="73"/>
      <c r="BG82" s="73"/>
      <c r="BH82" s="73"/>
      <c r="BI82" s="73"/>
      <c r="BJ82" s="73"/>
      <c r="BK82" s="73"/>
      <c r="BL82" s="73"/>
      <c r="BM82" s="73"/>
      <c r="BN82" s="73"/>
      <c r="BO82" s="73"/>
      <c r="BP82" s="73"/>
      <c r="BQ82" s="73"/>
      <c r="BR82" s="73"/>
      <c r="BS82" s="73"/>
      <c r="BT82" s="73"/>
      <c r="BU82" s="73"/>
      <c r="BV82" s="73"/>
      <c r="BW82" s="73"/>
      <c r="BX82" s="73"/>
      <c r="BY82" s="73"/>
      <c r="BZ82" s="73"/>
      <c r="CA82" s="73"/>
      <c r="CB82" s="73"/>
      <c r="CC82" s="73"/>
      <c r="CD82" s="73"/>
      <c r="CE82" s="73"/>
      <c r="CF82" s="73"/>
      <c r="CG82" s="73"/>
      <c r="CH82" s="73"/>
      <c r="CI82" s="73"/>
      <c r="CJ82" s="73"/>
      <c r="CK82" s="73"/>
      <c r="CL82" s="73"/>
      <c r="CM82" s="73"/>
      <c r="CN82" s="73"/>
      <c r="CO82" s="73"/>
      <c r="CP82" s="73"/>
      <c r="CQ82" s="73"/>
      <c r="CR82" s="73"/>
      <c r="CS82" s="73"/>
      <c r="CT82" s="73"/>
      <c r="CU82" s="73"/>
      <c r="CV82" s="73"/>
      <c r="CW82" s="73"/>
      <c r="CX82" s="73"/>
      <c r="CY82" s="73"/>
      <c r="CZ82" s="73"/>
      <c r="DA82" s="73"/>
      <c r="DB82" s="73"/>
      <c r="DC82" s="73"/>
      <c r="DD82" s="73"/>
      <c r="DE82" s="73"/>
      <c r="DF82" s="73"/>
      <c r="DG82" s="73"/>
      <c r="DH82" s="73"/>
      <c r="DI82" s="73"/>
      <c r="DJ82" s="73"/>
      <c r="DK82" s="73"/>
      <c r="DL82" s="73"/>
      <c r="DM82" s="73"/>
      <c r="DN82" s="73"/>
      <c r="DO82" s="73"/>
      <c r="DP82" s="73"/>
      <c r="DQ82" s="73"/>
      <c r="DR82" s="73"/>
      <c r="DS82" s="73"/>
      <c r="DT82" s="73"/>
      <c r="DU82" s="74"/>
      <c r="DV82" s="74"/>
      <c r="DW82" s="72"/>
      <c r="DX82" s="72"/>
      <c r="DY82" s="72"/>
      <c r="DZ82" s="75"/>
      <c r="EA82" s="82" t="s">
        <v>92</v>
      </c>
    </row>
    <row r="83" ht="21.75" customHeight="1">
      <c r="A83" s="64"/>
      <c r="B83" s="70"/>
      <c r="C83" s="71"/>
      <c r="D83" s="71"/>
      <c r="E83" s="71"/>
      <c r="F83" s="81" t="s">
        <v>50</v>
      </c>
      <c r="G83" s="73"/>
      <c r="H83" s="73"/>
      <c r="I83" s="73"/>
      <c r="J83" s="73"/>
      <c r="K83" s="73"/>
      <c r="L83" s="73"/>
      <c r="M83" s="73">
        <v>0.0</v>
      </c>
      <c r="N83" s="73">
        <v>0.0</v>
      </c>
      <c r="O83" s="73">
        <v>0.0</v>
      </c>
      <c r="P83" s="73"/>
      <c r="Q83" s="73"/>
      <c r="R83" s="73"/>
      <c r="S83" s="73">
        <v>-237.50501000000008</v>
      </c>
      <c r="T83" s="73">
        <v>0.0</v>
      </c>
      <c r="U83" s="73">
        <v>-237.50501000000008</v>
      </c>
      <c r="V83" s="73"/>
      <c r="W83" s="73"/>
      <c r="X83" s="73"/>
      <c r="Y83" s="94">
        <v>-98.19462000000021</v>
      </c>
      <c r="Z83" s="94">
        <v>0.0</v>
      </c>
      <c r="AA83" s="94">
        <v>-98.19462000000021</v>
      </c>
      <c r="AB83" s="73"/>
      <c r="AC83" s="73"/>
      <c r="AD83" s="73"/>
      <c r="AE83" s="73">
        <f t="shared" ref="AE83:AG83" si="395">M83+S83+Y83</f>
        <v>-335.69963</v>
      </c>
      <c r="AF83" s="73">
        <f t="shared" si="395"/>
        <v>0</v>
      </c>
      <c r="AG83" s="73">
        <f t="shared" si="395"/>
        <v>-335.69963</v>
      </c>
      <c r="AH83" s="73"/>
      <c r="AI83" s="73"/>
      <c r="AJ83" s="73"/>
      <c r="AK83" s="73">
        <v>-233.5317699999996</v>
      </c>
      <c r="AL83" s="73">
        <v>0.0</v>
      </c>
      <c r="AM83" s="73">
        <v>-233.5317699999996</v>
      </c>
      <c r="AN83" s="73"/>
      <c r="AO83" s="73"/>
      <c r="AP83" s="73"/>
      <c r="AQ83" s="73">
        <f t="shared" ref="AQ83:AS83" si="396">AE83+AK83</f>
        <v>-569.2314</v>
      </c>
      <c r="AR83" s="73">
        <f t="shared" si="396"/>
        <v>0</v>
      </c>
      <c r="AS83" s="73">
        <f t="shared" si="396"/>
        <v>-569.2314</v>
      </c>
      <c r="AT83" s="73"/>
      <c r="AU83" s="73"/>
      <c r="AV83" s="73"/>
      <c r="AW83" s="73">
        <v>-448.03502</v>
      </c>
      <c r="AX83" s="73">
        <v>0.0</v>
      </c>
      <c r="AY83" s="73">
        <v>-448.03502</v>
      </c>
      <c r="AZ83" s="73"/>
      <c r="BA83" s="73"/>
      <c r="BB83" s="73"/>
      <c r="BC83" s="73">
        <f t="shared" ref="BC83:BE83" si="397">AQ83+AW83</f>
        <v>-1017.26642</v>
      </c>
      <c r="BD83" s="73">
        <f t="shared" si="397"/>
        <v>0</v>
      </c>
      <c r="BE83" s="73">
        <f t="shared" si="397"/>
        <v>-1017.26642</v>
      </c>
      <c r="BF83" s="73"/>
      <c r="BG83" s="73"/>
      <c r="BH83" s="73"/>
      <c r="BI83" s="73"/>
      <c r="BJ83" s="73"/>
      <c r="BK83" s="73"/>
      <c r="BL83" s="73"/>
      <c r="BM83" s="73"/>
      <c r="BN83" s="73"/>
      <c r="BO83" s="73"/>
      <c r="BP83" s="73"/>
      <c r="BQ83" s="73"/>
      <c r="BR83" s="73"/>
      <c r="BS83" s="73"/>
      <c r="BT83" s="73"/>
      <c r="BU83" s="73"/>
      <c r="BV83" s="73"/>
      <c r="BW83" s="73"/>
      <c r="BX83" s="73"/>
      <c r="BY83" s="73"/>
      <c r="BZ83" s="73"/>
      <c r="CA83" s="73"/>
      <c r="CB83" s="73"/>
      <c r="CC83" s="73"/>
      <c r="CD83" s="73"/>
      <c r="CE83" s="73"/>
      <c r="CF83" s="73"/>
      <c r="CG83" s="73"/>
      <c r="CH83" s="73"/>
      <c r="CI83" s="73"/>
      <c r="CJ83" s="73"/>
      <c r="CK83" s="73"/>
      <c r="CL83" s="73"/>
      <c r="CM83" s="73"/>
      <c r="CN83" s="73"/>
      <c r="CO83" s="73"/>
      <c r="CP83" s="73"/>
      <c r="CQ83" s="73"/>
      <c r="CR83" s="73"/>
      <c r="CS83" s="73"/>
      <c r="CT83" s="73"/>
      <c r="CU83" s="73"/>
      <c r="CV83" s="73"/>
      <c r="CW83" s="73"/>
      <c r="CX83" s="73"/>
      <c r="CY83" s="73"/>
      <c r="CZ83" s="73"/>
      <c r="DA83" s="73"/>
      <c r="DB83" s="73"/>
      <c r="DC83" s="73"/>
      <c r="DD83" s="73"/>
      <c r="DE83" s="73"/>
      <c r="DF83" s="73"/>
      <c r="DG83" s="73"/>
      <c r="DH83" s="73"/>
      <c r="DI83" s="73"/>
      <c r="DJ83" s="73"/>
      <c r="DK83" s="73"/>
      <c r="DL83" s="73"/>
      <c r="DM83" s="73"/>
      <c r="DN83" s="73"/>
      <c r="DO83" s="73"/>
      <c r="DP83" s="73"/>
      <c r="DQ83" s="73"/>
      <c r="DR83" s="73"/>
      <c r="DS83" s="73"/>
      <c r="DT83" s="73"/>
      <c r="DU83" s="74"/>
      <c r="DV83" s="74"/>
      <c r="DW83" s="72"/>
      <c r="DX83" s="72"/>
      <c r="DY83" s="72"/>
      <c r="DZ83" s="75"/>
      <c r="EA83" s="82"/>
    </row>
    <row r="84" ht="21.75" customHeight="1">
      <c r="A84" s="64"/>
      <c r="B84" s="70"/>
      <c r="C84" s="71"/>
      <c r="D84" s="71"/>
      <c r="E84" s="71"/>
      <c r="F84" s="78" t="s">
        <v>51</v>
      </c>
      <c r="G84" s="73"/>
      <c r="H84" s="73"/>
      <c r="I84" s="73"/>
      <c r="J84" s="73"/>
      <c r="K84" s="73"/>
      <c r="L84" s="73"/>
      <c r="M84" s="79">
        <f t="shared" ref="M84:O84" si="398">M85+M86</f>
        <v>1771.40297</v>
      </c>
      <c r="N84" s="79">
        <f t="shared" si="398"/>
        <v>0</v>
      </c>
      <c r="O84" s="79">
        <f t="shared" si="398"/>
        <v>1771.40297</v>
      </c>
      <c r="P84" s="79"/>
      <c r="Q84" s="79"/>
      <c r="R84" s="79"/>
      <c r="S84" s="79">
        <f t="shared" ref="S84:U84" si="399">S85+S86</f>
        <v>3297.2</v>
      </c>
      <c r="T84" s="79">
        <f t="shared" si="399"/>
        <v>0</v>
      </c>
      <c r="U84" s="79">
        <f t="shared" si="399"/>
        <v>3297.2</v>
      </c>
      <c r="V84" s="79"/>
      <c r="W84" s="79"/>
      <c r="X84" s="79"/>
      <c r="Y84" s="79">
        <f t="shared" ref="Y84:AA84" si="400">Y85+Y86</f>
        <v>3340.25</v>
      </c>
      <c r="Z84" s="79">
        <f t="shared" si="400"/>
        <v>0</v>
      </c>
      <c r="AA84" s="79">
        <f t="shared" si="400"/>
        <v>3340.25</v>
      </c>
      <c r="AB84" s="79"/>
      <c r="AC84" s="79"/>
      <c r="AD84" s="79"/>
      <c r="AE84" s="79">
        <f t="shared" ref="AE84:AG84" si="401">M84+S84+Y84</f>
        <v>8408.85297</v>
      </c>
      <c r="AF84" s="79">
        <f t="shared" si="401"/>
        <v>0</v>
      </c>
      <c r="AG84" s="79">
        <f t="shared" si="401"/>
        <v>8408.85297</v>
      </c>
      <c r="AH84" s="73"/>
      <c r="AI84" s="73"/>
      <c r="AJ84" s="73"/>
      <c r="AK84" s="79">
        <f t="shared" ref="AK84:AM84" si="402">AK85+AK86</f>
        <v>2179.33136</v>
      </c>
      <c r="AL84" s="79">
        <f t="shared" si="402"/>
        <v>0</v>
      </c>
      <c r="AM84" s="79">
        <f t="shared" si="402"/>
        <v>2179.33136</v>
      </c>
      <c r="AN84" s="73"/>
      <c r="AO84" s="73"/>
      <c r="AP84" s="73"/>
      <c r="AQ84" s="79">
        <f t="shared" ref="AQ84:AS84" si="403">AE84+AK84</f>
        <v>10588.18433</v>
      </c>
      <c r="AR84" s="79">
        <f t="shared" si="403"/>
        <v>0</v>
      </c>
      <c r="AS84" s="79">
        <f t="shared" si="403"/>
        <v>10588.18433</v>
      </c>
      <c r="AT84" s="73"/>
      <c r="AU84" s="73"/>
      <c r="AV84" s="73"/>
      <c r="AW84" s="79">
        <f t="shared" ref="AW84:AY84" si="404">AW85+AW86</f>
        <v>7598.11121</v>
      </c>
      <c r="AX84" s="79">
        <f t="shared" si="404"/>
        <v>0</v>
      </c>
      <c r="AY84" s="79">
        <f t="shared" si="404"/>
        <v>7598.11121</v>
      </c>
      <c r="AZ84" s="73"/>
      <c r="BA84" s="73"/>
      <c r="BB84" s="73"/>
      <c r="BC84" s="79">
        <f t="shared" ref="BC84:BE84" si="405">AQ84+AW84</f>
        <v>18186.29554</v>
      </c>
      <c r="BD84" s="79">
        <f t="shared" si="405"/>
        <v>0</v>
      </c>
      <c r="BE84" s="79">
        <f t="shared" si="405"/>
        <v>18186.29554</v>
      </c>
      <c r="BF84" s="73">
        <f t="shared" ref="BF84:DY84" si="406">BF86+BF87+BF88</f>
        <v>0</v>
      </c>
      <c r="BG84" s="73">
        <f t="shared" si="406"/>
        <v>0</v>
      </c>
      <c r="BH84" s="73">
        <f t="shared" si="406"/>
        <v>0</v>
      </c>
      <c r="BI84" s="73">
        <f t="shared" si="406"/>
        <v>0</v>
      </c>
      <c r="BJ84" s="73">
        <f t="shared" si="406"/>
        <v>0</v>
      </c>
      <c r="BK84" s="73">
        <f t="shared" si="406"/>
        <v>0</v>
      </c>
      <c r="BL84" s="73">
        <f t="shared" si="406"/>
        <v>0</v>
      </c>
      <c r="BM84" s="73">
        <f t="shared" si="406"/>
        <v>0</v>
      </c>
      <c r="BN84" s="73">
        <f t="shared" si="406"/>
        <v>0</v>
      </c>
      <c r="BO84" s="73">
        <f t="shared" si="406"/>
        <v>0</v>
      </c>
      <c r="BP84" s="73">
        <f t="shared" si="406"/>
        <v>0</v>
      </c>
      <c r="BQ84" s="73">
        <f t="shared" si="406"/>
        <v>0</v>
      </c>
      <c r="BR84" s="73">
        <f t="shared" si="406"/>
        <v>0</v>
      </c>
      <c r="BS84" s="73">
        <f t="shared" si="406"/>
        <v>0</v>
      </c>
      <c r="BT84" s="73">
        <f t="shared" si="406"/>
        <v>0</v>
      </c>
      <c r="BU84" s="73">
        <f t="shared" si="406"/>
        <v>0</v>
      </c>
      <c r="BV84" s="73">
        <f t="shared" si="406"/>
        <v>0</v>
      </c>
      <c r="BW84" s="73">
        <f t="shared" si="406"/>
        <v>0</v>
      </c>
      <c r="BX84" s="73">
        <f t="shared" si="406"/>
        <v>0</v>
      </c>
      <c r="BY84" s="73">
        <f t="shared" si="406"/>
        <v>0</v>
      </c>
      <c r="BZ84" s="73">
        <f t="shared" si="406"/>
        <v>0</v>
      </c>
      <c r="CA84" s="73">
        <f t="shared" si="406"/>
        <v>0</v>
      </c>
      <c r="CB84" s="73">
        <f t="shared" si="406"/>
        <v>0</v>
      </c>
      <c r="CC84" s="73">
        <f t="shared" si="406"/>
        <v>0</v>
      </c>
      <c r="CD84" s="73">
        <f t="shared" si="406"/>
        <v>0</v>
      </c>
      <c r="CE84" s="73">
        <f t="shared" si="406"/>
        <v>0</v>
      </c>
      <c r="CF84" s="73">
        <f t="shared" si="406"/>
        <v>0</v>
      </c>
      <c r="CG84" s="73">
        <f t="shared" si="406"/>
        <v>0</v>
      </c>
      <c r="CH84" s="73">
        <f t="shared" si="406"/>
        <v>0</v>
      </c>
      <c r="CI84" s="73">
        <f t="shared" si="406"/>
        <v>0</v>
      </c>
      <c r="CJ84" s="73">
        <f t="shared" si="406"/>
        <v>0</v>
      </c>
      <c r="CK84" s="73">
        <f t="shared" si="406"/>
        <v>0</v>
      </c>
      <c r="CL84" s="73">
        <f t="shared" si="406"/>
        <v>0</v>
      </c>
      <c r="CM84" s="73">
        <f t="shared" si="406"/>
        <v>0</v>
      </c>
      <c r="CN84" s="73">
        <f t="shared" si="406"/>
        <v>0</v>
      </c>
      <c r="CO84" s="73">
        <f t="shared" si="406"/>
        <v>0</v>
      </c>
      <c r="CP84" s="73">
        <f t="shared" si="406"/>
        <v>0</v>
      </c>
      <c r="CQ84" s="73">
        <f t="shared" si="406"/>
        <v>0</v>
      </c>
      <c r="CR84" s="73">
        <f t="shared" si="406"/>
        <v>0</v>
      </c>
      <c r="CS84" s="73">
        <f t="shared" si="406"/>
        <v>0</v>
      </c>
      <c r="CT84" s="73">
        <f t="shared" si="406"/>
        <v>0</v>
      </c>
      <c r="CU84" s="73">
        <f t="shared" si="406"/>
        <v>0</v>
      </c>
      <c r="CV84" s="73">
        <f t="shared" si="406"/>
        <v>0</v>
      </c>
      <c r="CW84" s="73">
        <f t="shared" si="406"/>
        <v>0</v>
      </c>
      <c r="CX84" s="73">
        <f t="shared" si="406"/>
        <v>0</v>
      </c>
      <c r="CY84" s="73">
        <f t="shared" si="406"/>
        <v>0</v>
      </c>
      <c r="CZ84" s="73">
        <f t="shared" si="406"/>
        <v>0</v>
      </c>
      <c r="DA84" s="73">
        <f t="shared" si="406"/>
        <v>0</v>
      </c>
      <c r="DB84" s="73">
        <f t="shared" si="406"/>
        <v>0</v>
      </c>
      <c r="DC84" s="73">
        <f t="shared" si="406"/>
        <v>0</v>
      </c>
      <c r="DD84" s="73">
        <f t="shared" si="406"/>
        <v>0</v>
      </c>
      <c r="DE84" s="73">
        <f t="shared" si="406"/>
        <v>0</v>
      </c>
      <c r="DF84" s="73">
        <f t="shared" si="406"/>
        <v>0</v>
      </c>
      <c r="DG84" s="73">
        <f t="shared" si="406"/>
        <v>0</v>
      </c>
      <c r="DH84" s="73">
        <f t="shared" si="406"/>
        <v>0</v>
      </c>
      <c r="DI84" s="73">
        <f t="shared" si="406"/>
        <v>0</v>
      </c>
      <c r="DJ84" s="73">
        <f t="shared" si="406"/>
        <v>0</v>
      </c>
      <c r="DK84" s="73">
        <f t="shared" si="406"/>
        <v>0</v>
      </c>
      <c r="DL84" s="73">
        <f t="shared" si="406"/>
        <v>0</v>
      </c>
      <c r="DM84" s="73">
        <f t="shared" si="406"/>
        <v>0</v>
      </c>
      <c r="DN84" s="73">
        <f t="shared" si="406"/>
        <v>0</v>
      </c>
      <c r="DO84" s="73">
        <f t="shared" si="406"/>
        <v>0</v>
      </c>
      <c r="DP84" s="73">
        <f t="shared" si="406"/>
        <v>0</v>
      </c>
      <c r="DQ84" s="73">
        <f t="shared" si="406"/>
        <v>0</v>
      </c>
      <c r="DR84" s="73">
        <f t="shared" si="406"/>
        <v>0</v>
      </c>
      <c r="DS84" s="73">
        <f t="shared" si="406"/>
        <v>0</v>
      </c>
      <c r="DT84" s="73">
        <f t="shared" si="406"/>
        <v>0</v>
      </c>
      <c r="DU84" s="73">
        <f t="shared" si="406"/>
        <v>0</v>
      </c>
      <c r="DV84" s="73">
        <f t="shared" si="406"/>
        <v>0</v>
      </c>
      <c r="DW84" s="73">
        <f t="shared" si="406"/>
        <v>0</v>
      </c>
      <c r="DX84" s="73">
        <f t="shared" si="406"/>
        <v>0</v>
      </c>
      <c r="DY84" s="73">
        <f t="shared" si="406"/>
        <v>0</v>
      </c>
      <c r="DZ84" s="73"/>
      <c r="EA84" s="76"/>
    </row>
    <row r="85" ht="21.75" customHeight="1">
      <c r="A85" s="64"/>
      <c r="B85" s="70"/>
      <c r="C85" s="71"/>
      <c r="D85" s="71"/>
      <c r="E85" s="71"/>
      <c r="F85" s="81" t="s">
        <v>47</v>
      </c>
      <c r="G85" s="73"/>
      <c r="H85" s="73"/>
      <c r="I85" s="73"/>
      <c r="J85" s="73"/>
      <c r="K85" s="73"/>
      <c r="L85" s="73"/>
      <c r="M85" s="73">
        <v>0.0</v>
      </c>
      <c r="N85" s="73">
        <v>0.0</v>
      </c>
      <c r="O85" s="73">
        <v>0.0</v>
      </c>
      <c r="P85" s="73"/>
      <c r="Q85" s="73"/>
      <c r="R85" s="73"/>
      <c r="S85" s="73">
        <v>0.0</v>
      </c>
      <c r="T85" s="73">
        <v>0.0</v>
      </c>
      <c r="U85" s="73">
        <v>0.0</v>
      </c>
      <c r="V85" s="73"/>
      <c r="W85" s="73"/>
      <c r="X85" s="73"/>
      <c r="Y85" s="73">
        <v>0.0</v>
      </c>
      <c r="Z85" s="73">
        <v>0.0</v>
      </c>
      <c r="AA85" s="73">
        <v>0.0</v>
      </c>
      <c r="AB85" s="73"/>
      <c r="AC85" s="73"/>
      <c r="AD85" s="73"/>
      <c r="AE85" s="73">
        <f t="shared" ref="AE85:AG85" si="407">M85+S85+Y85</f>
        <v>0</v>
      </c>
      <c r="AF85" s="73">
        <f t="shared" si="407"/>
        <v>0</v>
      </c>
      <c r="AG85" s="73">
        <f t="shared" si="407"/>
        <v>0</v>
      </c>
      <c r="AH85" s="73"/>
      <c r="AI85" s="73"/>
      <c r="AJ85" s="73"/>
      <c r="AK85" s="73">
        <v>0.0</v>
      </c>
      <c r="AL85" s="73">
        <v>0.0</v>
      </c>
      <c r="AM85" s="73">
        <v>0.0</v>
      </c>
      <c r="AN85" s="73"/>
      <c r="AO85" s="73"/>
      <c r="AP85" s="73"/>
      <c r="AQ85" s="73">
        <f t="shared" ref="AQ85:AS85" si="408">AE85+AK85</f>
        <v>0</v>
      </c>
      <c r="AR85" s="73">
        <f t="shared" si="408"/>
        <v>0</v>
      </c>
      <c r="AS85" s="73">
        <f t="shared" si="408"/>
        <v>0</v>
      </c>
      <c r="AT85" s="73"/>
      <c r="AU85" s="73"/>
      <c r="AV85" s="73"/>
      <c r="AW85" s="73">
        <v>0.0</v>
      </c>
      <c r="AX85" s="73">
        <v>0.0</v>
      </c>
      <c r="AY85" s="73">
        <v>0.0</v>
      </c>
      <c r="AZ85" s="73"/>
      <c r="BA85" s="73"/>
      <c r="BB85" s="73"/>
      <c r="BC85" s="73">
        <f t="shared" ref="BC85:BE85" si="409">AQ85+AW85</f>
        <v>0</v>
      </c>
      <c r="BD85" s="73">
        <f t="shared" si="409"/>
        <v>0</v>
      </c>
      <c r="BE85" s="73">
        <f t="shared" si="409"/>
        <v>0</v>
      </c>
      <c r="BF85" s="73"/>
      <c r="BG85" s="73"/>
      <c r="BH85" s="73"/>
      <c r="BI85" s="73"/>
      <c r="BJ85" s="73"/>
      <c r="BK85" s="73"/>
      <c r="BL85" s="73"/>
      <c r="BM85" s="73"/>
      <c r="BN85" s="73"/>
      <c r="BO85" s="73"/>
      <c r="BP85" s="73"/>
      <c r="BQ85" s="73"/>
      <c r="BR85" s="73"/>
      <c r="BS85" s="73"/>
      <c r="BT85" s="73"/>
      <c r="BU85" s="73"/>
      <c r="BV85" s="73"/>
      <c r="BW85" s="73"/>
      <c r="BX85" s="73"/>
      <c r="BY85" s="73"/>
      <c r="BZ85" s="73"/>
      <c r="CA85" s="73"/>
      <c r="CB85" s="73"/>
      <c r="CC85" s="73"/>
      <c r="CD85" s="73"/>
      <c r="CE85" s="73"/>
      <c r="CF85" s="73"/>
      <c r="CG85" s="73"/>
      <c r="CH85" s="73"/>
      <c r="CI85" s="73"/>
      <c r="CJ85" s="73"/>
      <c r="CK85" s="73"/>
      <c r="CL85" s="73"/>
      <c r="CM85" s="73"/>
      <c r="CN85" s="73"/>
      <c r="CO85" s="73"/>
      <c r="CP85" s="73"/>
      <c r="CQ85" s="73"/>
      <c r="CR85" s="73"/>
      <c r="CS85" s="73"/>
      <c r="CT85" s="73"/>
      <c r="CU85" s="73"/>
      <c r="CV85" s="73"/>
      <c r="CW85" s="73"/>
      <c r="CX85" s="73"/>
      <c r="CY85" s="73"/>
      <c r="CZ85" s="73"/>
      <c r="DA85" s="73"/>
      <c r="DB85" s="73"/>
      <c r="DC85" s="73"/>
      <c r="DD85" s="73"/>
      <c r="DE85" s="73"/>
      <c r="DF85" s="73"/>
      <c r="DG85" s="73"/>
      <c r="DH85" s="73"/>
      <c r="DI85" s="73"/>
      <c r="DJ85" s="73"/>
      <c r="DK85" s="73"/>
      <c r="DL85" s="73"/>
      <c r="DM85" s="73"/>
      <c r="DN85" s="73"/>
      <c r="DO85" s="73"/>
      <c r="DP85" s="73"/>
      <c r="DQ85" s="73"/>
      <c r="DR85" s="73"/>
      <c r="DS85" s="73"/>
      <c r="DT85" s="73"/>
      <c r="DU85" s="73"/>
      <c r="DV85" s="73"/>
      <c r="DW85" s="73"/>
      <c r="DX85" s="73"/>
      <c r="DY85" s="73"/>
      <c r="DZ85" s="73"/>
      <c r="EA85" s="76"/>
    </row>
    <row r="86" ht="21.75" customHeight="1">
      <c r="A86" s="64"/>
      <c r="B86" s="70"/>
      <c r="C86" s="71"/>
      <c r="D86" s="71"/>
      <c r="E86" s="71"/>
      <c r="F86" s="81" t="s">
        <v>52</v>
      </c>
      <c r="G86" s="73"/>
      <c r="H86" s="73"/>
      <c r="I86" s="73"/>
      <c r="J86" s="73"/>
      <c r="K86" s="73"/>
      <c r="L86" s="73"/>
      <c r="M86" s="73">
        <f t="shared" ref="M86:M88" si="413">N86+O86</f>
        <v>1771.40297</v>
      </c>
      <c r="N86" s="73">
        <v>0.0</v>
      </c>
      <c r="O86" s="73">
        <v>1771.40297</v>
      </c>
      <c r="P86" s="73"/>
      <c r="Q86" s="73"/>
      <c r="R86" s="73"/>
      <c r="S86" s="73">
        <f t="shared" ref="S86:S88" si="414">T86+U86</f>
        <v>3297.2</v>
      </c>
      <c r="T86" s="73">
        <v>0.0</v>
      </c>
      <c r="U86" s="73">
        <v>3297.2</v>
      </c>
      <c r="V86" s="73"/>
      <c r="W86" s="73"/>
      <c r="X86" s="73"/>
      <c r="Y86" s="73">
        <f t="shared" ref="Y86:Y88" si="415">Z86+AA86</f>
        <v>3340.25</v>
      </c>
      <c r="Z86" s="73">
        <v>0.0</v>
      </c>
      <c r="AA86" s="73">
        <v>3340.25</v>
      </c>
      <c r="AB86" s="73"/>
      <c r="AC86" s="73"/>
      <c r="AD86" s="73"/>
      <c r="AE86" s="73">
        <f t="shared" ref="AE86:AG86" si="410">M86+S86+Y86</f>
        <v>8408.85297</v>
      </c>
      <c r="AF86" s="73">
        <f t="shared" si="410"/>
        <v>0</v>
      </c>
      <c r="AG86" s="73">
        <f t="shared" si="410"/>
        <v>8408.85297</v>
      </c>
      <c r="AH86" s="73"/>
      <c r="AI86" s="73"/>
      <c r="AJ86" s="73"/>
      <c r="AK86" s="73">
        <f t="shared" ref="AK86:AK88" si="417">AL86+AM86</f>
        <v>2179.33136</v>
      </c>
      <c r="AL86" s="73">
        <v>0.0</v>
      </c>
      <c r="AM86" s="73">
        <v>2179.33136</v>
      </c>
      <c r="AN86" s="73"/>
      <c r="AO86" s="73"/>
      <c r="AP86" s="73"/>
      <c r="AQ86" s="73">
        <f t="shared" ref="AQ86:AS86" si="411">AE86+AK86</f>
        <v>10588.18433</v>
      </c>
      <c r="AR86" s="73">
        <f t="shared" si="411"/>
        <v>0</v>
      </c>
      <c r="AS86" s="73">
        <f t="shared" si="411"/>
        <v>10588.18433</v>
      </c>
      <c r="AT86" s="73"/>
      <c r="AU86" s="73"/>
      <c r="AV86" s="73"/>
      <c r="AW86" s="73">
        <f>712.56259+563.0014+2127.09807+0.34915+4195.1</f>
        <v>7598.11121</v>
      </c>
      <c r="AX86" s="73">
        <v>0.0</v>
      </c>
      <c r="AY86" s="73">
        <f>712.56259+563.0014+2127.09807+0.34915+4195.1</f>
        <v>7598.11121</v>
      </c>
      <c r="AZ86" s="73"/>
      <c r="BA86" s="73"/>
      <c r="BB86" s="73"/>
      <c r="BC86" s="73">
        <f t="shared" ref="BC86:BE86" si="412">AQ86+AW86</f>
        <v>18186.29554</v>
      </c>
      <c r="BD86" s="73">
        <f t="shared" si="412"/>
        <v>0</v>
      </c>
      <c r="BE86" s="73">
        <f t="shared" si="412"/>
        <v>18186.29554</v>
      </c>
      <c r="BF86" s="73"/>
      <c r="BG86" s="73"/>
      <c r="BH86" s="73"/>
      <c r="BI86" s="73"/>
      <c r="BJ86" s="73"/>
      <c r="BK86" s="73"/>
      <c r="BL86" s="73"/>
      <c r="BM86" s="73"/>
      <c r="BN86" s="73"/>
      <c r="BO86" s="73"/>
      <c r="BP86" s="73"/>
      <c r="BQ86" s="73"/>
      <c r="BR86" s="73"/>
      <c r="BS86" s="73"/>
      <c r="BT86" s="73"/>
      <c r="BU86" s="73"/>
      <c r="BV86" s="73"/>
      <c r="BW86" s="73"/>
      <c r="BX86" s="73"/>
      <c r="BY86" s="73"/>
      <c r="BZ86" s="73"/>
      <c r="CA86" s="73"/>
      <c r="CB86" s="73"/>
      <c r="CC86" s="73"/>
      <c r="CD86" s="73"/>
      <c r="CE86" s="73"/>
      <c r="CF86" s="73"/>
      <c r="CG86" s="73"/>
      <c r="CH86" s="73"/>
      <c r="CI86" s="73"/>
      <c r="CJ86" s="73"/>
      <c r="CK86" s="73"/>
      <c r="CL86" s="73"/>
      <c r="CM86" s="73"/>
      <c r="CN86" s="73"/>
      <c r="CO86" s="73"/>
      <c r="CP86" s="73"/>
      <c r="CQ86" s="73"/>
      <c r="CR86" s="73"/>
      <c r="CS86" s="73"/>
      <c r="CT86" s="73"/>
      <c r="CU86" s="73"/>
      <c r="CV86" s="73"/>
      <c r="CW86" s="73"/>
      <c r="CX86" s="73"/>
      <c r="CY86" s="73"/>
      <c r="CZ86" s="73"/>
      <c r="DA86" s="73"/>
      <c r="DB86" s="73"/>
      <c r="DC86" s="73"/>
      <c r="DD86" s="73"/>
      <c r="DE86" s="73"/>
      <c r="DF86" s="73"/>
      <c r="DG86" s="73"/>
      <c r="DH86" s="73"/>
      <c r="DI86" s="73"/>
      <c r="DJ86" s="73"/>
      <c r="DK86" s="73"/>
      <c r="DL86" s="73"/>
      <c r="DM86" s="73"/>
      <c r="DN86" s="73"/>
      <c r="DO86" s="73"/>
      <c r="DP86" s="73"/>
      <c r="DQ86" s="73"/>
      <c r="DR86" s="73"/>
      <c r="DS86" s="73"/>
      <c r="DT86" s="73"/>
      <c r="DU86" s="74"/>
      <c r="DV86" s="74"/>
      <c r="DW86" s="72"/>
      <c r="DX86" s="72"/>
      <c r="DY86" s="72"/>
      <c r="DZ86" s="96"/>
      <c r="EA86" s="82" t="s">
        <v>93</v>
      </c>
    </row>
    <row r="87" ht="21.75" customHeight="1">
      <c r="A87" s="64"/>
      <c r="B87" s="70"/>
      <c r="C87" s="71"/>
      <c r="D87" s="71"/>
      <c r="E87" s="71"/>
      <c r="F87" s="78" t="s">
        <v>53</v>
      </c>
      <c r="G87" s="73"/>
      <c r="H87" s="73"/>
      <c r="I87" s="73"/>
      <c r="J87" s="73"/>
      <c r="K87" s="73"/>
      <c r="L87" s="73"/>
      <c r="M87" s="79">
        <f t="shared" si="413"/>
        <v>0</v>
      </c>
      <c r="N87" s="79">
        <v>0.0</v>
      </c>
      <c r="O87" s="79">
        <v>0.0</v>
      </c>
      <c r="P87" s="79"/>
      <c r="Q87" s="79"/>
      <c r="R87" s="79"/>
      <c r="S87" s="79">
        <f t="shared" si="414"/>
        <v>0</v>
      </c>
      <c r="T87" s="79">
        <v>0.0</v>
      </c>
      <c r="U87" s="79">
        <v>0.0</v>
      </c>
      <c r="V87" s="79"/>
      <c r="W87" s="79"/>
      <c r="X87" s="79"/>
      <c r="Y87" s="79">
        <f t="shared" si="415"/>
        <v>0</v>
      </c>
      <c r="Z87" s="79">
        <v>0.0</v>
      </c>
      <c r="AA87" s="79">
        <v>0.0</v>
      </c>
      <c r="AB87" s="79"/>
      <c r="AC87" s="79"/>
      <c r="AD87" s="79"/>
      <c r="AE87" s="79">
        <f t="shared" ref="AE87:AG87" si="416">M87+S87+Y87</f>
        <v>0</v>
      </c>
      <c r="AF87" s="79">
        <f t="shared" si="416"/>
        <v>0</v>
      </c>
      <c r="AG87" s="79">
        <f t="shared" si="416"/>
        <v>0</v>
      </c>
      <c r="AH87" s="79"/>
      <c r="AI87" s="79"/>
      <c r="AJ87" s="79"/>
      <c r="AK87" s="79">
        <f t="shared" si="417"/>
        <v>0</v>
      </c>
      <c r="AL87" s="79">
        <v>0.0</v>
      </c>
      <c r="AM87" s="79">
        <v>0.0</v>
      </c>
      <c r="AN87" s="73"/>
      <c r="AO87" s="73"/>
      <c r="AP87" s="73"/>
      <c r="AQ87" s="79">
        <f t="shared" ref="AQ87:AS87" si="418">AE87+AK87</f>
        <v>0</v>
      </c>
      <c r="AR87" s="79">
        <f t="shared" si="418"/>
        <v>0</v>
      </c>
      <c r="AS87" s="79">
        <f t="shared" si="418"/>
        <v>0</v>
      </c>
      <c r="AT87" s="73"/>
      <c r="AU87" s="73"/>
      <c r="AV87" s="73"/>
      <c r="AW87" s="79">
        <v>0.0</v>
      </c>
      <c r="AX87" s="79">
        <v>0.0</v>
      </c>
      <c r="AY87" s="79">
        <v>0.0</v>
      </c>
      <c r="AZ87" s="73"/>
      <c r="BA87" s="73"/>
      <c r="BB87" s="73"/>
      <c r="BC87" s="79">
        <f t="shared" ref="BC87:BE87" si="419">AQ87+AW87</f>
        <v>0</v>
      </c>
      <c r="BD87" s="79">
        <f t="shared" si="419"/>
        <v>0</v>
      </c>
      <c r="BE87" s="79">
        <f t="shared" si="419"/>
        <v>0</v>
      </c>
      <c r="BF87" s="73"/>
      <c r="BG87" s="73"/>
      <c r="BH87" s="73"/>
      <c r="BI87" s="73"/>
      <c r="BJ87" s="73"/>
      <c r="BK87" s="73"/>
      <c r="BL87" s="73"/>
      <c r="BM87" s="73"/>
      <c r="BN87" s="73"/>
      <c r="BO87" s="73"/>
      <c r="BP87" s="73"/>
      <c r="BQ87" s="73"/>
      <c r="BR87" s="73"/>
      <c r="BS87" s="73"/>
      <c r="BT87" s="73"/>
      <c r="BU87" s="73"/>
      <c r="BV87" s="73"/>
      <c r="BW87" s="73"/>
      <c r="BX87" s="73"/>
      <c r="BY87" s="73"/>
      <c r="BZ87" s="73"/>
      <c r="CA87" s="73"/>
      <c r="CB87" s="73"/>
      <c r="CC87" s="73"/>
      <c r="CD87" s="73"/>
      <c r="CE87" s="73"/>
      <c r="CF87" s="73"/>
      <c r="CG87" s="73"/>
      <c r="CH87" s="73"/>
      <c r="CI87" s="73"/>
      <c r="CJ87" s="73"/>
      <c r="CK87" s="73"/>
      <c r="CL87" s="73"/>
      <c r="CM87" s="73"/>
      <c r="CN87" s="73"/>
      <c r="CO87" s="73"/>
      <c r="CP87" s="73"/>
      <c r="CQ87" s="73"/>
      <c r="CR87" s="73"/>
      <c r="CS87" s="73"/>
      <c r="CT87" s="73"/>
      <c r="CU87" s="73"/>
      <c r="CV87" s="73"/>
      <c r="CW87" s="73"/>
      <c r="CX87" s="73"/>
      <c r="CY87" s="73"/>
      <c r="CZ87" s="73"/>
      <c r="DA87" s="73"/>
      <c r="DB87" s="73"/>
      <c r="DC87" s="73"/>
      <c r="DD87" s="73"/>
      <c r="DE87" s="73"/>
      <c r="DF87" s="73"/>
      <c r="DG87" s="73"/>
      <c r="DH87" s="73"/>
      <c r="DI87" s="73"/>
      <c r="DJ87" s="73"/>
      <c r="DK87" s="73"/>
      <c r="DL87" s="73"/>
      <c r="DM87" s="73"/>
      <c r="DN87" s="73"/>
      <c r="DO87" s="73"/>
      <c r="DP87" s="73"/>
      <c r="DQ87" s="73"/>
      <c r="DR87" s="73"/>
      <c r="DS87" s="73"/>
      <c r="DT87" s="73"/>
      <c r="DU87" s="74"/>
      <c r="DV87" s="74"/>
      <c r="DW87" s="72"/>
      <c r="DX87" s="72"/>
      <c r="DY87" s="72"/>
      <c r="DZ87" s="72"/>
      <c r="EA87" s="76" t="s">
        <v>94</v>
      </c>
    </row>
    <row r="88" ht="21.75" customHeight="1">
      <c r="A88" s="64"/>
      <c r="B88" s="92"/>
      <c r="C88" s="72"/>
      <c r="D88" s="71"/>
      <c r="E88" s="71"/>
      <c r="F88" s="78" t="s">
        <v>55</v>
      </c>
      <c r="G88" s="73"/>
      <c r="H88" s="73"/>
      <c r="I88" s="73"/>
      <c r="J88" s="73"/>
      <c r="K88" s="73"/>
      <c r="L88" s="73"/>
      <c r="M88" s="79">
        <f t="shared" si="413"/>
        <v>0</v>
      </c>
      <c r="N88" s="79">
        <v>0.0</v>
      </c>
      <c r="O88" s="79">
        <v>0.0</v>
      </c>
      <c r="P88" s="79"/>
      <c r="Q88" s="79"/>
      <c r="R88" s="79"/>
      <c r="S88" s="79">
        <f t="shared" si="414"/>
        <v>0</v>
      </c>
      <c r="T88" s="79">
        <v>0.0</v>
      </c>
      <c r="U88" s="79">
        <v>0.0</v>
      </c>
      <c r="V88" s="79"/>
      <c r="W88" s="79"/>
      <c r="X88" s="79"/>
      <c r="Y88" s="79">
        <f t="shared" si="415"/>
        <v>0</v>
      </c>
      <c r="Z88" s="79">
        <v>0.0</v>
      </c>
      <c r="AA88" s="79">
        <v>0.0</v>
      </c>
      <c r="AB88" s="79"/>
      <c r="AC88" s="79"/>
      <c r="AD88" s="79"/>
      <c r="AE88" s="79">
        <f t="shared" ref="AE88:AG88" si="420">M88+S88+Y88</f>
        <v>0</v>
      </c>
      <c r="AF88" s="79">
        <f t="shared" si="420"/>
        <v>0</v>
      </c>
      <c r="AG88" s="79">
        <f t="shared" si="420"/>
        <v>0</v>
      </c>
      <c r="AH88" s="79"/>
      <c r="AI88" s="79"/>
      <c r="AJ88" s="79"/>
      <c r="AK88" s="79">
        <f t="shared" si="417"/>
        <v>0</v>
      </c>
      <c r="AL88" s="79">
        <v>0.0</v>
      </c>
      <c r="AM88" s="79">
        <v>0.0</v>
      </c>
      <c r="AN88" s="73"/>
      <c r="AO88" s="73"/>
      <c r="AP88" s="73"/>
      <c r="AQ88" s="79">
        <f t="shared" ref="AQ88:AS88" si="421">AE88+AK88</f>
        <v>0</v>
      </c>
      <c r="AR88" s="79">
        <f t="shared" si="421"/>
        <v>0</v>
      </c>
      <c r="AS88" s="79">
        <f t="shared" si="421"/>
        <v>0</v>
      </c>
      <c r="AT88" s="73"/>
      <c r="AU88" s="73"/>
      <c r="AV88" s="73"/>
      <c r="AW88" s="79">
        <v>0.0</v>
      </c>
      <c r="AX88" s="79">
        <v>0.0</v>
      </c>
      <c r="AY88" s="79">
        <v>0.0</v>
      </c>
      <c r="AZ88" s="73"/>
      <c r="BA88" s="73"/>
      <c r="BB88" s="73"/>
      <c r="BC88" s="79">
        <f t="shared" ref="BC88:BE88" si="422">AQ88+AW88</f>
        <v>0</v>
      </c>
      <c r="BD88" s="79">
        <f t="shared" si="422"/>
        <v>0</v>
      </c>
      <c r="BE88" s="79">
        <f t="shared" si="422"/>
        <v>0</v>
      </c>
      <c r="BF88" s="73"/>
      <c r="BG88" s="73"/>
      <c r="BH88" s="73"/>
      <c r="BI88" s="73"/>
      <c r="BJ88" s="73"/>
      <c r="BK88" s="73"/>
      <c r="BL88" s="73"/>
      <c r="BM88" s="73"/>
      <c r="BN88" s="73"/>
      <c r="BO88" s="73"/>
      <c r="BP88" s="73"/>
      <c r="BQ88" s="73"/>
      <c r="BR88" s="73"/>
      <c r="BS88" s="73"/>
      <c r="BT88" s="73"/>
      <c r="BU88" s="73"/>
      <c r="BV88" s="73"/>
      <c r="BW88" s="73"/>
      <c r="BX88" s="73"/>
      <c r="BY88" s="73"/>
      <c r="BZ88" s="73"/>
      <c r="CA88" s="73"/>
      <c r="CB88" s="73"/>
      <c r="CC88" s="73"/>
      <c r="CD88" s="73"/>
      <c r="CE88" s="73"/>
      <c r="CF88" s="73"/>
      <c r="CG88" s="73"/>
      <c r="CH88" s="73"/>
      <c r="CI88" s="73"/>
      <c r="CJ88" s="73"/>
      <c r="CK88" s="73"/>
      <c r="CL88" s="73"/>
      <c r="CM88" s="73"/>
      <c r="CN88" s="73"/>
      <c r="CO88" s="73"/>
      <c r="CP88" s="73"/>
      <c r="CQ88" s="73"/>
      <c r="CR88" s="73"/>
      <c r="CS88" s="73"/>
      <c r="CT88" s="73"/>
      <c r="CU88" s="73"/>
      <c r="CV88" s="73"/>
      <c r="CW88" s="73"/>
      <c r="CX88" s="73"/>
      <c r="CY88" s="73"/>
      <c r="CZ88" s="73"/>
      <c r="DA88" s="73"/>
      <c r="DB88" s="73"/>
      <c r="DC88" s="73"/>
      <c r="DD88" s="73"/>
      <c r="DE88" s="73"/>
      <c r="DF88" s="73"/>
      <c r="DG88" s="73"/>
      <c r="DH88" s="73"/>
      <c r="DI88" s="73"/>
      <c r="DJ88" s="73"/>
      <c r="DK88" s="73"/>
      <c r="DL88" s="73"/>
      <c r="DM88" s="73"/>
      <c r="DN88" s="73"/>
      <c r="DO88" s="73"/>
      <c r="DP88" s="73"/>
      <c r="DQ88" s="73"/>
      <c r="DR88" s="73"/>
      <c r="DS88" s="73"/>
      <c r="DT88" s="73"/>
      <c r="DU88" s="74"/>
      <c r="DV88" s="74"/>
      <c r="DW88" s="72"/>
      <c r="DX88" s="72"/>
      <c r="DY88" s="72"/>
      <c r="DZ88" s="75"/>
      <c r="EA88" s="76"/>
    </row>
    <row r="89" ht="21.75" customHeight="1">
      <c r="A89" s="64"/>
      <c r="B89" s="70" t="s">
        <v>40</v>
      </c>
      <c r="C89" s="71" t="s">
        <v>95</v>
      </c>
      <c r="D89" s="71" t="s">
        <v>41</v>
      </c>
      <c r="E89" s="71" t="s">
        <v>76</v>
      </c>
      <c r="F89" s="72" t="s">
        <v>96</v>
      </c>
      <c r="G89" s="73">
        <v>1467195.0</v>
      </c>
      <c r="H89" s="73">
        <v>0.0</v>
      </c>
      <c r="I89" s="73">
        <v>1467195.0</v>
      </c>
      <c r="J89" s="73">
        <f t="shared" ref="J89:L89" si="423">J90+J92+J95</f>
        <v>0</v>
      </c>
      <c r="K89" s="73">
        <f t="shared" si="423"/>
        <v>0</v>
      </c>
      <c r="L89" s="73">
        <f t="shared" si="423"/>
        <v>0</v>
      </c>
      <c r="M89" s="73">
        <f t="shared" ref="M89:O89" si="424">M90+M92+M95+M98+M99</f>
        <v>3900.48828</v>
      </c>
      <c r="N89" s="73">
        <f t="shared" si="424"/>
        <v>0</v>
      </c>
      <c r="O89" s="73">
        <f t="shared" si="424"/>
        <v>3900.48828</v>
      </c>
      <c r="P89" s="73">
        <f t="shared" ref="P89:R89" si="425">P90+P92+P95</f>
        <v>0</v>
      </c>
      <c r="Q89" s="73">
        <f t="shared" si="425"/>
        <v>0</v>
      </c>
      <c r="R89" s="73">
        <f t="shared" si="425"/>
        <v>0</v>
      </c>
      <c r="S89" s="73">
        <f t="shared" ref="S89:U89" si="426">S90+S92+S95+S98+S99</f>
        <v>22647.22209</v>
      </c>
      <c r="T89" s="73">
        <f t="shared" si="426"/>
        <v>0</v>
      </c>
      <c r="U89" s="73">
        <f t="shared" si="426"/>
        <v>22647.22209</v>
      </c>
      <c r="V89" s="73">
        <v>1865.0</v>
      </c>
      <c r="W89" s="73">
        <f>W90+W92+W95</f>
        <v>0</v>
      </c>
      <c r="X89" s="73">
        <v>1865.0</v>
      </c>
      <c r="Y89" s="73">
        <f t="shared" ref="Y89:AA89" si="427">Y90+Y92+Y95+Y98+Y99</f>
        <v>65364.45513</v>
      </c>
      <c r="Z89" s="73">
        <f t="shared" si="427"/>
        <v>0</v>
      </c>
      <c r="AA89" s="73">
        <f t="shared" si="427"/>
        <v>65364.45513</v>
      </c>
      <c r="AB89" s="73">
        <f t="shared" ref="AB89:AG89" si="428">J89+P89+V89</f>
        <v>1865</v>
      </c>
      <c r="AC89" s="73">
        <f t="shared" si="428"/>
        <v>0</v>
      </c>
      <c r="AD89" s="73">
        <f t="shared" si="428"/>
        <v>1865</v>
      </c>
      <c r="AE89" s="73">
        <f t="shared" si="428"/>
        <v>91912.1655</v>
      </c>
      <c r="AF89" s="73">
        <f t="shared" si="428"/>
        <v>0</v>
      </c>
      <c r="AG89" s="73">
        <f t="shared" si="428"/>
        <v>91912.1655</v>
      </c>
      <c r="AH89" s="73">
        <v>6321.0</v>
      </c>
      <c r="AI89" s="73">
        <v>0.0</v>
      </c>
      <c r="AJ89" s="73">
        <v>6321.0</v>
      </c>
      <c r="AK89" s="73">
        <f t="shared" ref="AK89:AM89" si="429">AK90+AK92+AK95+AK98+AK99</f>
        <v>15107.94961</v>
      </c>
      <c r="AL89" s="73">
        <f t="shared" si="429"/>
        <v>0</v>
      </c>
      <c r="AM89" s="73">
        <f t="shared" si="429"/>
        <v>15107.94961</v>
      </c>
      <c r="AN89" s="73">
        <f t="shared" ref="AN89:AS89" si="430">AB89+AH89</f>
        <v>8186</v>
      </c>
      <c r="AO89" s="73">
        <f t="shared" si="430"/>
        <v>0</v>
      </c>
      <c r="AP89" s="73">
        <f t="shared" si="430"/>
        <v>8186</v>
      </c>
      <c r="AQ89" s="73">
        <f t="shared" si="430"/>
        <v>107020.1151</v>
      </c>
      <c r="AR89" s="73">
        <f t="shared" si="430"/>
        <v>0</v>
      </c>
      <c r="AS89" s="73">
        <f t="shared" si="430"/>
        <v>107020.1151</v>
      </c>
      <c r="AT89" s="73">
        <v>9481.0</v>
      </c>
      <c r="AU89" s="73">
        <f>AU90+AU92+AU95</f>
        <v>0</v>
      </c>
      <c r="AV89" s="73">
        <v>9481.0</v>
      </c>
      <c r="AW89" s="73">
        <f t="shared" ref="AW89:AY89" si="431">AW90+AW92+AW95+AW98+AW99</f>
        <v>6278.34403</v>
      </c>
      <c r="AX89" s="73">
        <f t="shared" si="431"/>
        <v>0</v>
      </c>
      <c r="AY89" s="73">
        <f t="shared" si="431"/>
        <v>6278.34403</v>
      </c>
      <c r="AZ89" s="73">
        <f t="shared" ref="AZ89:BE89" si="432">AN89+AT89</f>
        <v>17667</v>
      </c>
      <c r="BA89" s="73">
        <f t="shared" si="432"/>
        <v>0</v>
      </c>
      <c r="BB89" s="73">
        <f t="shared" si="432"/>
        <v>17667</v>
      </c>
      <c r="BC89" s="73">
        <f t="shared" si="432"/>
        <v>113298.4591</v>
      </c>
      <c r="BD89" s="73">
        <f t="shared" si="432"/>
        <v>0</v>
      </c>
      <c r="BE89" s="73">
        <f t="shared" si="432"/>
        <v>113298.4591</v>
      </c>
      <c r="BF89" s="73">
        <f t="shared" ref="BF89:DY89" si="433">BF90+BF92+BF95</f>
        <v>0</v>
      </c>
      <c r="BG89" s="73">
        <f t="shared" si="433"/>
        <v>0</v>
      </c>
      <c r="BH89" s="73">
        <f t="shared" si="433"/>
        <v>0</v>
      </c>
      <c r="BI89" s="73">
        <f t="shared" si="433"/>
        <v>0</v>
      </c>
      <c r="BJ89" s="73">
        <f t="shared" si="433"/>
        <v>0</v>
      </c>
      <c r="BK89" s="73">
        <f t="shared" si="433"/>
        <v>0</v>
      </c>
      <c r="BL89" s="73">
        <f t="shared" si="433"/>
        <v>0</v>
      </c>
      <c r="BM89" s="73">
        <f t="shared" si="433"/>
        <v>0</v>
      </c>
      <c r="BN89" s="73">
        <f t="shared" si="433"/>
        <v>0</v>
      </c>
      <c r="BO89" s="73">
        <f t="shared" si="433"/>
        <v>0</v>
      </c>
      <c r="BP89" s="73">
        <f t="shared" si="433"/>
        <v>0</v>
      </c>
      <c r="BQ89" s="73">
        <f t="shared" si="433"/>
        <v>0</v>
      </c>
      <c r="BR89" s="73">
        <f t="shared" si="433"/>
        <v>0</v>
      </c>
      <c r="BS89" s="73">
        <f t="shared" si="433"/>
        <v>0</v>
      </c>
      <c r="BT89" s="73">
        <f t="shared" si="433"/>
        <v>0</v>
      </c>
      <c r="BU89" s="73">
        <f t="shared" si="433"/>
        <v>0</v>
      </c>
      <c r="BV89" s="73">
        <f t="shared" si="433"/>
        <v>0</v>
      </c>
      <c r="BW89" s="73">
        <f t="shared" si="433"/>
        <v>0</v>
      </c>
      <c r="BX89" s="73">
        <f t="shared" si="433"/>
        <v>0</v>
      </c>
      <c r="BY89" s="73">
        <f t="shared" si="433"/>
        <v>0</v>
      </c>
      <c r="BZ89" s="73">
        <f t="shared" si="433"/>
        <v>0</v>
      </c>
      <c r="CA89" s="73">
        <f t="shared" si="433"/>
        <v>0</v>
      </c>
      <c r="CB89" s="73">
        <f t="shared" si="433"/>
        <v>0</v>
      </c>
      <c r="CC89" s="73">
        <f t="shared" si="433"/>
        <v>0</v>
      </c>
      <c r="CD89" s="73">
        <f t="shared" si="433"/>
        <v>0</v>
      </c>
      <c r="CE89" s="73">
        <f t="shared" si="433"/>
        <v>0</v>
      </c>
      <c r="CF89" s="73">
        <f t="shared" si="433"/>
        <v>0</v>
      </c>
      <c r="CG89" s="73">
        <f t="shared" si="433"/>
        <v>0</v>
      </c>
      <c r="CH89" s="73">
        <f t="shared" si="433"/>
        <v>0</v>
      </c>
      <c r="CI89" s="73">
        <f t="shared" si="433"/>
        <v>0</v>
      </c>
      <c r="CJ89" s="73">
        <f t="shared" si="433"/>
        <v>0</v>
      </c>
      <c r="CK89" s="73">
        <f t="shared" si="433"/>
        <v>0</v>
      </c>
      <c r="CL89" s="73">
        <f t="shared" si="433"/>
        <v>0</v>
      </c>
      <c r="CM89" s="73">
        <f t="shared" si="433"/>
        <v>0</v>
      </c>
      <c r="CN89" s="73">
        <f t="shared" si="433"/>
        <v>0</v>
      </c>
      <c r="CO89" s="73">
        <f t="shared" si="433"/>
        <v>0</v>
      </c>
      <c r="CP89" s="73">
        <f t="shared" si="433"/>
        <v>0</v>
      </c>
      <c r="CQ89" s="73">
        <f t="shared" si="433"/>
        <v>0</v>
      </c>
      <c r="CR89" s="73">
        <f t="shared" si="433"/>
        <v>0</v>
      </c>
      <c r="CS89" s="73">
        <f t="shared" si="433"/>
        <v>0</v>
      </c>
      <c r="CT89" s="73">
        <f t="shared" si="433"/>
        <v>0</v>
      </c>
      <c r="CU89" s="73">
        <f t="shared" si="433"/>
        <v>0</v>
      </c>
      <c r="CV89" s="73">
        <f t="shared" si="433"/>
        <v>0</v>
      </c>
      <c r="CW89" s="73">
        <f t="shared" si="433"/>
        <v>0</v>
      </c>
      <c r="CX89" s="73">
        <f t="shared" si="433"/>
        <v>0</v>
      </c>
      <c r="CY89" s="73">
        <f t="shared" si="433"/>
        <v>0</v>
      </c>
      <c r="CZ89" s="73">
        <f t="shared" si="433"/>
        <v>0</v>
      </c>
      <c r="DA89" s="73">
        <f t="shared" si="433"/>
        <v>0</v>
      </c>
      <c r="DB89" s="73">
        <f t="shared" si="433"/>
        <v>0</v>
      </c>
      <c r="DC89" s="73">
        <f t="shared" si="433"/>
        <v>0</v>
      </c>
      <c r="DD89" s="73">
        <f t="shared" si="433"/>
        <v>0</v>
      </c>
      <c r="DE89" s="73">
        <f t="shared" si="433"/>
        <v>0</v>
      </c>
      <c r="DF89" s="73">
        <f t="shared" si="433"/>
        <v>0</v>
      </c>
      <c r="DG89" s="73">
        <f t="shared" si="433"/>
        <v>0</v>
      </c>
      <c r="DH89" s="73">
        <f t="shared" si="433"/>
        <v>0</v>
      </c>
      <c r="DI89" s="73">
        <f t="shared" si="433"/>
        <v>0</v>
      </c>
      <c r="DJ89" s="73">
        <f t="shared" si="433"/>
        <v>0</v>
      </c>
      <c r="DK89" s="73">
        <f t="shared" si="433"/>
        <v>0</v>
      </c>
      <c r="DL89" s="73">
        <f t="shared" si="433"/>
        <v>0</v>
      </c>
      <c r="DM89" s="73">
        <f t="shared" si="433"/>
        <v>0</v>
      </c>
      <c r="DN89" s="73">
        <f t="shared" si="433"/>
        <v>0</v>
      </c>
      <c r="DO89" s="73">
        <f t="shared" si="433"/>
        <v>0</v>
      </c>
      <c r="DP89" s="73">
        <f t="shared" si="433"/>
        <v>0</v>
      </c>
      <c r="DQ89" s="73">
        <f t="shared" si="433"/>
        <v>0</v>
      </c>
      <c r="DR89" s="73">
        <f t="shared" si="433"/>
        <v>0</v>
      </c>
      <c r="DS89" s="73">
        <f t="shared" si="433"/>
        <v>0</v>
      </c>
      <c r="DT89" s="73">
        <f t="shared" si="433"/>
        <v>0</v>
      </c>
      <c r="DU89" s="74">
        <f t="shared" si="433"/>
        <v>0</v>
      </c>
      <c r="DV89" s="74">
        <f t="shared" si="433"/>
        <v>0</v>
      </c>
      <c r="DW89" s="74">
        <f t="shared" si="433"/>
        <v>0</v>
      </c>
      <c r="DX89" s="74">
        <f t="shared" si="433"/>
        <v>0</v>
      </c>
      <c r="DY89" s="74">
        <f t="shared" si="433"/>
        <v>0</v>
      </c>
      <c r="DZ89" s="74"/>
      <c r="EA89" s="82"/>
    </row>
    <row r="90" ht="21.75" customHeight="1">
      <c r="A90" s="64"/>
      <c r="B90" s="70"/>
      <c r="C90" s="71"/>
      <c r="D90" s="71"/>
      <c r="E90" s="71"/>
      <c r="F90" s="78" t="s">
        <v>46</v>
      </c>
      <c r="G90" s="73"/>
      <c r="H90" s="73"/>
      <c r="I90" s="73"/>
      <c r="J90" s="73"/>
      <c r="K90" s="73"/>
      <c r="L90" s="73"/>
      <c r="M90" s="79">
        <f t="shared" ref="M90:O90" si="434">M91</f>
        <v>0</v>
      </c>
      <c r="N90" s="79">
        <f t="shared" si="434"/>
        <v>0</v>
      </c>
      <c r="O90" s="79">
        <f t="shared" si="434"/>
        <v>0</v>
      </c>
      <c r="P90" s="73"/>
      <c r="Q90" s="73"/>
      <c r="R90" s="73"/>
      <c r="S90" s="79">
        <f t="shared" ref="S90:U90" si="435">S91</f>
        <v>0</v>
      </c>
      <c r="T90" s="79">
        <f t="shared" si="435"/>
        <v>0</v>
      </c>
      <c r="U90" s="79">
        <f t="shared" si="435"/>
        <v>0</v>
      </c>
      <c r="V90" s="73"/>
      <c r="W90" s="73"/>
      <c r="X90" s="73"/>
      <c r="Y90" s="79">
        <f t="shared" ref="Y90:AA90" si="436">Y91</f>
        <v>0</v>
      </c>
      <c r="Z90" s="79">
        <f t="shared" si="436"/>
        <v>0</v>
      </c>
      <c r="AA90" s="79">
        <f t="shared" si="436"/>
        <v>0</v>
      </c>
      <c r="AB90" s="73"/>
      <c r="AC90" s="73"/>
      <c r="AD90" s="73"/>
      <c r="AE90" s="79">
        <f t="shared" ref="AE90:AG90" si="437">M90+S90+Y90</f>
        <v>0</v>
      </c>
      <c r="AF90" s="79">
        <f t="shared" si="437"/>
        <v>0</v>
      </c>
      <c r="AG90" s="79">
        <f t="shared" si="437"/>
        <v>0</v>
      </c>
      <c r="AH90" s="73"/>
      <c r="AI90" s="73"/>
      <c r="AJ90" s="73"/>
      <c r="AK90" s="79">
        <f t="shared" ref="AK90:AM90" si="438">AK91</f>
        <v>0</v>
      </c>
      <c r="AL90" s="79">
        <f t="shared" si="438"/>
        <v>0</v>
      </c>
      <c r="AM90" s="79">
        <f t="shared" si="438"/>
        <v>0</v>
      </c>
      <c r="AN90" s="73"/>
      <c r="AO90" s="73"/>
      <c r="AP90" s="73"/>
      <c r="AQ90" s="79">
        <f t="shared" ref="AQ90:AS90" si="439">AE90+AK90</f>
        <v>0</v>
      </c>
      <c r="AR90" s="79">
        <f t="shared" si="439"/>
        <v>0</v>
      </c>
      <c r="AS90" s="79">
        <f t="shared" si="439"/>
        <v>0</v>
      </c>
      <c r="AT90" s="73"/>
      <c r="AU90" s="73"/>
      <c r="AV90" s="73"/>
      <c r="AW90" s="79">
        <v>0.0</v>
      </c>
      <c r="AX90" s="79">
        <v>0.0</v>
      </c>
      <c r="AY90" s="79">
        <v>0.0</v>
      </c>
      <c r="AZ90" s="73"/>
      <c r="BA90" s="73"/>
      <c r="BB90" s="73"/>
      <c r="BC90" s="79">
        <f t="shared" ref="BC90:BE90" si="440">AQ90+AW90</f>
        <v>0</v>
      </c>
      <c r="BD90" s="79">
        <f t="shared" si="440"/>
        <v>0</v>
      </c>
      <c r="BE90" s="79">
        <f t="shared" si="440"/>
        <v>0</v>
      </c>
      <c r="BF90" s="73"/>
      <c r="BG90" s="73"/>
      <c r="BH90" s="73"/>
      <c r="BI90" s="73"/>
      <c r="BJ90" s="73"/>
      <c r="BK90" s="73"/>
      <c r="BL90" s="73"/>
      <c r="BM90" s="73"/>
      <c r="BN90" s="73"/>
      <c r="BO90" s="73"/>
      <c r="BP90" s="73"/>
      <c r="BQ90" s="73"/>
      <c r="BR90" s="73"/>
      <c r="BS90" s="73"/>
      <c r="BT90" s="73"/>
      <c r="BU90" s="73"/>
      <c r="BV90" s="73"/>
      <c r="BW90" s="73"/>
      <c r="BX90" s="73"/>
      <c r="BY90" s="73"/>
      <c r="BZ90" s="73"/>
      <c r="CA90" s="73"/>
      <c r="CB90" s="73"/>
      <c r="CC90" s="73"/>
      <c r="CD90" s="73"/>
      <c r="CE90" s="73"/>
      <c r="CF90" s="73"/>
      <c r="CG90" s="73"/>
      <c r="CH90" s="73"/>
      <c r="CI90" s="73"/>
      <c r="CJ90" s="73"/>
      <c r="CK90" s="73"/>
      <c r="CL90" s="73"/>
      <c r="CM90" s="73"/>
      <c r="CN90" s="73"/>
      <c r="CO90" s="73"/>
      <c r="CP90" s="73"/>
      <c r="CQ90" s="73"/>
      <c r="CR90" s="73"/>
      <c r="CS90" s="73"/>
      <c r="CT90" s="73"/>
      <c r="CU90" s="73"/>
      <c r="CV90" s="73"/>
      <c r="CW90" s="73"/>
      <c r="CX90" s="73"/>
      <c r="CY90" s="73"/>
      <c r="CZ90" s="73"/>
      <c r="DA90" s="73"/>
      <c r="DB90" s="73"/>
      <c r="DC90" s="73"/>
      <c r="DD90" s="73"/>
      <c r="DE90" s="73"/>
      <c r="DF90" s="73"/>
      <c r="DG90" s="73"/>
      <c r="DH90" s="73"/>
      <c r="DI90" s="73"/>
      <c r="DJ90" s="73"/>
      <c r="DK90" s="73"/>
      <c r="DL90" s="73"/>
      <c r="DM90" s="73"/>
      <c r="DN90" s="73"/>
      <c r="DO90" s="73"/>
      <c r="DP90" s="73"/>
      <c r="DQ90" s="73"/>
      <c r="DR90" s="73"/>
      <c r="DS90" s="73"/>
      <c r="DT90" s="73"/>
      <c r="DU90" s="74"/>
      <c r="DV90" s="74"/>
      <c r="DW90" s="74"/>
      <c r="DX90" s="74"/>
      <c r="DY90" s="74"/>
      <c r="DZ90" s="74"/>
      <c r="EA90" s="82"/>
    </row>
    <row r="91" ht="21.75" customHeight="1">
      <c r="A91" s="64"/>
      <c r="B91" s="70"/>
      <c r="C91" s="71"/>
      <c r="D91" s="71"/>
      <c r="E91" s="71"/>
      <c r="F91" s="81" t="s">
        <v>47</v>
      </c>
      <c r="G91" s="73"/>
      <c r="H91" s="73"/>
      <c r="I91" s="73"/>
      <c r="J91" s="73"/>
      <c r="K91" s="73"/>
      <c r="L91" s="73"/>
      <c r="M91" s="73">
        <v>0.0</v>
      </c>
      <c r="N91" s="73">
        <v>0.0</v>
      </c>
      <c r="O91" s="73">
        <v>0.0</v>
      </c>
      <c r="P91" s="73"/>
      <c r="Q91" s="73"/>
      <c r="R91" s="73"/>
      <c r="S91" s="73">
        <v>0.0</v>
      </c>
      <c r="T91" s="73">
        <v>0.0</v>
      </c>
      <c r="U91" s="73">
        <v>0.0</v>
      </c>
      <c r="V91" s="73"/>
      <c r="W91" s="73"/>
      <c r="X91" s="73"/>
      <c r="Y91" s="73">
        <v>0.0</v>
      </c>
      <c r="Z91" s="73">
        <v>0.0</v>
      </c>
      <c r="AA91" s="83">
        <v>0.0</v>
      </c>
      <c r="AB91" s="73"/>
      <c r="AC91" s="73"/>
      <c r="AD91" s="73"/>
      <c r="AE91" s="73">
        <f t="shared" ref="AE91:AG91" si="441">M91+S91+Y91</f>
        <v>0</v>
      </c>
      <c r="AF91" s="73">
        <f t="shared" si="441"/>
        <v>0</v>
      </c>
      <c r="AG91" s="83">
        <f t="shared" si="441"/>
        <v>0</v>
      </c>
      <c r="AH91" s="73"/>
      <c r="AI91" s="73"/>
      <c r="AJ91" s="73"/>
      <c r="AK91" s="73">
        <v>0.0</v>
      </c>
      <c r="AL91" s="73">
        <v>0.0</v>
      </c>
      <c r="AM91" s="73">
        <v>0.0</v>
      </c>
      <c r="AN91" s="73"/>
      <c r="AO91" s="73"/>
      <c r="AP91" s="73"/>
      <c r="AQ91" s="73">
        <f t="shared" ref="AQ91:AS91" si="442">AE91+AK91</f>
        <v>0</v>
      </c>
      <c r="AR91" s="73">
        <f t="shared" si="442"/>
        <v>0</v>
      </c>
      <c r="AS91" s="73">
        <f t="shared" si="442"/>
        <v>0</v>
      </c>
      <c r="AT91" s="73"/>
      <c r="AU91" s="73"/>
      <c r="AV91" s="73"/>
      <c r="AW91" s="73">
        <v>0.0</v>
      </c>
      <c r="AX91" s="73">
        <v>0.0</v>
      </c>
      <c r="AY91" s="73">
        <v>0.0</v>
      </c>
      <c r="AZ91" s="73"/>
      <c r="BA91" s="73"/>
      <c r="BB91" s="73"/>
      <c r="BC91" s="73">
        <f t="shared" ref="BC91:BE91" si="443">AQ91+AW91</f>
        <v>0</v>
      </c>
      <c r="BD91" s="73">
        <f t="shared" si="443"/>
        <v>0</v>
      </c>
      <c r="BE91" s="73">
        <f t="shared" si="443"/>
        <v>0</v>
      </c>
      <c r="BF91" s="73"/>
      <c r="BG91" s="73"/>
      <c r="BH91" s="73"/>
      <c r="BI91" s="73"/>
      <c r="BJ91" s="73"/>
      <c r="BK91" s="73"/>
      <c r="BL91" s="73"/>
      <c r="BM91" s="73"/>
      <c r="BN91" s="73"/>
      <c r="BO91" s="73"/>
      <c r="BP91" s="73"/>
      <c r="BQ91" s="73"/>
      <c r="BR91" s="73"/>
      <c r="BS91" s="73"/>
      <c r="BT91" s="73"/>
      <c r="BU91" s="73"/>
      <c r="BV91" s="73"/>
      <c r="BW91" s="73"/>
      <c r="BX91" s="73"/>
      <c r="BY91" s="73"/>
      <c r="BZ91" s="73"/>
      <c r="CA91" s="73"/>
      <c r="CB91" s="73"/>
      <c r="CC91" s="73"/>
      <c r="CD91" s="73"/>
      <c r="CE91" s="73"/>
      <c r="CF91" s="73"/>
      <c r="CG91" s="73"/>
      <c r="CH91" s="73"/>
      <c r="CI91" s="73"/>
      <c r="CJ91" s="73"/>
      <c r="CK91" s="73"/>
      <c r="CL91" s="73"/>
      <c r="CM91" s="73"/>
      <c r="CN91" s="73"/>
      <c r="CO91" s="73"/>
      <c r="CP91" s="73"/>
      <c r="CQ91" s="73"/>
      <c r="CR91" s="73"/>
      <c r="CS91" s="73"/>
      <c r="CT91" s="73"/>
      <c r="CU91" s="73"/>
      <c r="CV91" s="73"/>
      <c r="CW91" s="73"/>
      <c r="CX91" s="73"/>
      <c r="CY91" s="73"/>
      <c r="CZ91" s="73"/>
      <c r="DA91" s="73"/>
      <c r="DB91" s="73"/>
      <c r="DC91" s="73"/>
      <c r="DD91" s="73"/>
      <c r="DE91" s="73"/>
      <c r="DF91" s="73"/>
      <c r="DG91" s="73"/>
      <c r="DH91" s="73"/>
      <c r="DI91" s="73"/>
      <c r="DJ91" s="73"/>
      <c r="DK91" s="73"/>
      <c r="DL91" s="73"/>
      <c r="DM91" s="73"/>
      <c r="DN91" s="73"/>
      <c r="DO91" s="73"/>
      <c r="DP91" s="73"/>
      <c r="DQ91" s="73"/>
      <c r="DR91" s="73"/>
      <c r="DS91" s="73"/>
      <c r="DT91" s="73"/>
      <c r="DU91" s="74"/>
      <c r="DV91" s="74"/>
      <c r="DW91" s="74"/>
      <c r="DX91" s="74"/>
      <c r="DY91" s="74"/>
      <c r="DZ91" s="74"/>
      <c r="EA91" s="82"/>
    </row>
    <row r="92" ht="21.75" customHeight="1">
      <c r="A92" s="64"/>
      <c r="B92" s="70"/>
      <c r="C92" s="71"/>
      <c r="D92" s="71"/>
      <c r="E92" s="71"/>
      <c r="F92" s="78" t="s">
        <v>48</v>
      </c>
      <c r="G92" s="73"/>
      <c r="H92" s="73"/>
      <c r="I92" s="73"/>
      <c r="J92" s="73"/>
      <c r="K92" s="73"/>
      <c r="L92" s="73"/>
      <c r="M92" s="79">
        <f t="shared" ref="M92:O92" si="444">M93+M94</f>
        <v>3900.56828</v>
      </c>
      <c r="N92" s="79">
        <f t="shared" si="444"/>
        <v>0</v>
      </c>
      <c r="O92" s="79">
        <f t="shared" si="444"/>
        <v>3900.56828</v>
      </c>
      <c r="P92" s="73"/>
      <c r="Q92" s="73"/>
      <c r="R92" s="73"/>
      <c r="S92" s="79">
        <f t="shared" ref="S92:U92" si="445">S93+S94</f>
        <v>4572</v>
      </c>
      <c r="T92" s="79">
        <f t="shared" si="445"/>
        <v>0</v>
      </c>
      <c r="U92" s="79">
        <f t="shared" si="445"/>
        <v>4572</v>
      </c>
      <c r="V92" s="73"/>
      <c r="W92" s="73"/>
      <c r="X92" s="73"/>
      <c r="Y92" s="79">
        <f t="shared" ref="Y92:AA92" si="446">Y93+Y94</f>
        <v>3093.51011</v>
      </c>
      <c r="Z92" s="79">
        <f t="shared" si="446"/>
        <v>0</v>
      </c>
      <c r="AA92" s="79">
        <f t="shared" si="446"/>
        <v>3093.51011</v>
      </c>
      <c r="AB92" s="73"/>
      <c r="AC92" s="73"/>
      <c r="AD92" s="73"/>
      <c r="AE92" s="79">
        <f t="shared" ref="AE92:AG92" si="447">M92+S92+Y92</f>
        <v>11566.07839</v>
      </c>
      <c r="AF92" s="79">
        <f t="shared" si="447"/>
        <v>0</v>
      </c>
      <c r="AG92" s="79">
        <f t="shared" si="447"/>
        <v>11566.07839</v>
      </c>
      <c r="AH92" s="73"/>
      <c r="AI92" s="73"/>
      <c r="AJ92" s="73"/>
      <c r="AK92" s="79">
        <f t="shared" ref="AK92:AM92" si="448">AK93+AK94</f>
        <v>3051.55916</v>
      </c>
      <c r="AL92" s="79">
        <f t="shared" si="448"/>
        <v>0</v>
      </c>
      <c r="AM92" s="79">
        <f t="shared" si="448"/>
        <v>3051.55916</v>
      </c>
      <c r="AN92" s="73"/>
      <c r="AO92" s="73"/>
      <c r="AP92" s="73"/>
      <c r="AQ92" s="79">
        <f t="shared" ref="AQ92:AS92" si="449">AE92+AK92</f>
        <v>14617.63755</v>
      </c>
      <c r="AR92" s="79">
        <f t="shared" si="449"/>
        <v>0</v>
      </c>
      <c r="AS92" s="79">
        <f t="shared" si="449"/>
        <v>14617.63755</v>
      </c>
      <c r="AT92" s="73"/>
      <c r="AU92" s="73"/>
      <c r="AV92" s="73"/>
      <c r="AW92" s="79">
        <f t="shared" ref="AW92:AY92" si="450">AW93+AW94</f>
        <v>3498.49783</v>
      </c>
      <c r="AX92" s="79">
        <f t="shared" si="450"/>
        <v>0</v>
      </c>
      <c r="AY92" s="79">
        <f t="shared" si="450"/>
        <v>3498.49783</v>
      </c>
      <c r="AZ92" s="73"/>
      <c r="BA92" s="73"/>
      <c r="BB92" s="73"/>
      <c r="BC92" s="79">
        <f t="shared" ref="BC92:BE92" si="451">AQ92+AW92</f>
        <v>18116.13538</v>
      </c>
      <c r="BD92" s="79">
        <f t="shared" si="451"/>
        <v>0</v>
      </c>
      <c r="BE92" s="79">
        <f t="shared" si="451"/>
        <v>18116.13538</v>
      </c>
      <c r="BF92" s="73"/>
      <c r="BG92" s="73"/>
      <c r="BH92" s="73"/>
      <c r="BI92" s="73"/>
      <c r="BJ92" s="73"/>
      <c r="BK92" s="73"/>
      <c r="BL92" s="73"/>
      <c r="BM92" s="73"/>
      <c r="BN92" s="73"/>
      <c r="BO92" s="73"/>
      <c r="BP92" s="73"/>
      <c r="BQ92" s="73"/>
      <c r="BR92" s="73"/>
      <c r="BS92" s="73"/>
      <c r="BT92" s="73"/>
      <c r="BU92" s="73"/>
      <c r="BV92" s="73"/>
      <c r="BW92" s="73"/>
      <c r="BX92" s="73"/>
      <c r="BY92" s="73"/>
      <c r="BZ92" s="73"/>
      <c r="CA92" s="73"/>
      <c r="CB92" s="73"/>
      <c r="CC92" s="73"/>
      <c r="CD92" s="73"/>
      <c r="CE92" s="73"/>
      <c r="CF92" s="73"/>
      <c r="CG92" s="73"/>
      <c r="CH92" s="73"/>
      <c r="CI92" s="73"/>
      <c r="CJ92" s="73"/>
      <c r="CK92" s="73"/>
      <c r="CL92" s="73"/>
      <c r="CM92" s="73"/>
      <c r="CN92" s="73"/>
      <c r="CO92" s="73"/>
      <c r="CP92" s="73"/>
      <c r="CQ92" s="73"/>
      <c r="CR92" s="73"/>
      <c r="CS92" s="73"/>
      <c r="CT92" s="73"/>
      <c r="CU92" s="73"/>
      <c r="CV92" s="73"/>
      <c r="CW92" s="73"/>
      <c r="CX92" s="73"/>
      <c r="CY92" s="73"/>
      <c r="CZ92" s="73"/>
      <c r="DA92" s="73"/>
      <c r="DB92" s="73"/>
      <c r="DC92" s="73"/>
      <c r="DD92" s="73"/>
      <c r="DE92" s="73"/>
      <c r="DF92" s="73"/>
      <c r="DG92" s="73"/>
      <c r="DH92" s="73"/>
      <c r="DI92" s="73"/>
      <c r="DJ92" s="73"/>
      <c r="DK92" s="73"/>
      <c r="DL92" s="73"/>
      <c r="DM92" s="73"/>
      <c r="DN92" s="73"/>
      <c r="DO92" s="73"/>
      <c r="DP92" s="73"/>
      <c r="DQ92" s="73"/>
      <c r="DR92" s="73"/>
      <c r="DS92" s="73"/>
      <c r="DT92" s="73"/>
      <c r="DU92" s="74"/>
      <c r="DV92" s="74"/>
      <c r="DW92" s="74"/>
      <c r="DX92" s="74"/>
      <c r="DY92" s="74"/>
      <c r="DZ92" s="74"/>
      <c r="EA92" s="82"/>
    </row>
    <row r="93" ht="21.75" customHeight="1">
      <c r="A93" s="64"/>
      <c r="B93" s="70"/>
      <c r="C93" s="71"/>
      <c r="D93" s="71"/>
      <c r="E93" s="71"/>
      <c r="F93" s="81" t="s">
        <v>47</v>
      </c>
      <c r="G93" s="73"/>
      <c r="H93" s="73"/>
      <c r="I93" s="73"/>
      <c r="J93" s="73"/>
      <c r="K93" s="73"/>
      <c r="L93" s="73"/>
      <c r="M93" s="73">
        <f>N93+O93</f>
        <v>3900.56828</v>
      </c>
      <c r="N93" s="73">
        <v>0.0</v>
      </c>
      <c r="O93" s="73">
        <v>3900.56828</v>
      </c>
      <c r="P93" s="73"/>
      <c r="Q93" s="73"/>
      <c r="R93" s="73"/>
      <c r="S93" s="73">
        <v>4604.46429</v>
      </c>
      <c r="T93" s="73">
        <v>0.0</v>
      </c>
      <c r="U93" s="73">
        <v>4604.46429</v>
      </c>
      <c r="V93" s="73"/>
      <c r="W93" s="73"/>
      <c r="X93" s="73"/>
      <c r="Y93" s="73">
        <f t="shared" ref="Y93:Y94" si="455">Z93+AA93</f>
        <v>3107.27351</v>
      </c>
      <c r="Z93" s="73">
        <v>0.0</v>
      </c>
      <c r="AA93" s="73">
        <f>1456.23998+1651.03353</f>
        <v>3107.27351</v>
      </c>
      <c r="AB93" s="73"/>
      <c r="AC93" s="73"/>
      <c r="AD93" s="73"/>
      <c r="AE93" s="73">
        <f t="shared" ref="AE93:AG93" si="452">M93+S93+Y93</f>
        <v>11612.30608</v>
      </c>
      <c r="AF93" s="73">
        <f t="shared" si="452"/>
        <v>0</v>
      </c>
      <c r="AG93" s="73">
        <f t="shared" si="452"/>
        <v>11612.30608</v>
      </c>
      <c r="AH93" s="73"/>
      <c r="AI93" s="73"/>
      <c r="AJ93" s="73"/>
      <c r="AK93" s="73">
        <f>1083.49016+1992.95429</f>
        <v>3076.44445</v>
      </c>
      <c r="AL93" s="73">
        <v>0.0</v>
      </c>
      <c r="AM93" s="73">
        <f>1083.49016+1992.95429</f>
        <v>3076.44445</v>
      </c>
      <c r="AN93" s="73"/>
      <c r="AO93" s="73"/>
      <c r="AP93" s="73"/>
      <c r="AQ93" s="73">
        <f t="shared" ref="AQ93:AS93" si="453">AE93+AK93</f>
        <v>14688.75053</v>
      </c>
      <c r="AR93" s="73">
        <f t="shared" si="453"/>
        <v>0</v>
      </c>
      <c r="AS93" s="73">
        <f t="shared" si="453"/>
        <v>14688.75053</v>
      </c>
      <c r="AT93" s="73"/>
      <c r="AU93" s="73"/>
      <c r="AV93" s="73"/>
      <c r="AW93" s="73">
        <f>1980.02188+1570.01318</f>
        <v>3550.03506</v>
      </c>
      <c r="AX93" s="73">
        <v>0.0</v>
      </c>
      <c r="AY93" s="73">
        <f>1980.02188+1570.01318</f>
        <v>3550.03506</v>
      </c>
      <c r="AZ93" s="73"/>
      <c r="BA93" s="73"/>
      <c r="BB93" s="73"/>
      <c r="BC93" s="73">
        <f t="shared" ref="BC93:BE93" si="454">AQ93+AW93</f>
        <v>18238.78559</v>
      </c>
      <c r="BD93" s="73">
        <f t="shared" si="454"/>
        <v>0</v>
      </c>
      <c r="BE93" s="73">
        <f t="shared" si="454"/>
        <v>18238.78559</v>
      </c>
      <c r="BF93" s="73"/>
      <c r="BG93" s="73"/>
      <c r="BH93" s="73"/>
      <c r="BI93" s="73"/>
      <c r="BJ93" s="73"/>
      <c r="BK93" s="73"/>
      <c r="BL93" s="73"/>
      <c r="BM93" s="73"/>
      <c r="BN93" s="73"/>
      <c r="BO93" s="73"/>
      <c r="BP93" s="73"/>
      <c r="BQ93" s="73"/>
      <c r="BR93" s="73"/>
      <c r="BS93" s="73"/>
      <c r="BT93" s="73"/>
      <c r="BU93" s="73"/>
      <c r="BV93" s="73"/>
      <c r="BW93" s="73"/>
      <c r="BX93" s="73"/>
      <c r="BY93" s="73"/>
      <c r="BZ93" s="73"/>
      <c r="CA93" s="73"/>
      <c r="CB93" s="73"/>
      <c r="CC93" s="73"/>
      <c r="CD93" s="73"/>
      <c r="CE93" s="73"/>
      <c r="CF93" s="73"/>
      <c r="CG93" s="73"/>
      <c r="CH93" s="73"/>
      <c r="CI93" s="73"/>
      <c r="CJ93" s="73"/>
      <c r="CK93" s="73"/>
      <c r="CL93" s="73"/>
      <c r="CM93" s="73"/>
      <c r="CN93" s="73"/>
      <c r="CO93" s="73"/>
      <c r="CP93" s="73"/>
      <c r="CQ93" s="73"/>
      <c r="CR93" s="73"/>
      <c r="CS93" s="73"/>
      <c r="CT93" s="73"/>
      <c r="CU93" s="73"/>
      <c r="CV93" s="73"/>
      <c r="CW93" s="73"/>
      <c r="CX93" s="73"/>
      <c r="CY93" s="73"/>
      <c r="CZ93" s="73"/>
      <c r="DA93" s="73"/>
      <c r="DB93" s="73"/>
      <c r="DC93" s="73"/>
      <c r="DD93" s="73"/>
      <c r="DE93" s="73"/>
      <c r="DF93" s="73"/>
      <c r="DG93" s="73"/>
      <c r="DH93" s="73"/>
      <c r="DI93" s="73"/>
      <c r="DJ93" s="73"/>
      <c r="DK93" s="73"/>
      <c r="DL93" s="73"/>
      <c r="DM93" s="73"/>
      <c r="DN93" s="73"/>
      <c r="DO93" s="73"/>
      <c r="DP93" s="73"/>
      <c r="DQ93" s="73"/>
      <c r="DR93" s="73"/>
      <c r="DS93" s="73"/>
      <c r="DT93" s="73"/>
      <c r="DU93" s="74"/>
      <c r="DV93" s="74"/>
      <c r="DW93" s="74"/>
      <c r="DX93" s="74"/>
      <c r="DY93" s="74"/>
      <c r="DZ93" s="74"/>
      <c r="EA93" s="82" t="s">
        <v>97</v>
      </c>
    </row>
    <row r="94" ht="21.75" customHeight="1">
      <c r="A94" s="64"/>
      <c r="B94" s="70"/>
      <c r="C94" s="71"/>
      <c r="D94" s="71"/>
      <c r="E94" s="71"/>
      <c r="F94" s="81" t="s">
        <v>50</v>
      </c>
      <c r="G94" s="73"/>
      <c r="H94" s="73"/>
      <c r="I94" s="73"/>
      <c r="J94" s="73"/>
      <c r="K94" s="73"/>
      <c r="L94" s="73"/>
      <c r="M94" s="73">
        <v>0.0</v>
      </c>
      <c r="N94" s="73">
        <v>0.0</v>
      </c>
      <c r="O94" s="73">
        <v>0.0</v>
      </c>
      <c r="P94" s="73"/>
      <c r="Q94" s="73"/>
      <c r="R94" s="73"/>
      <c r="S94" s="73">
        <v>-32.46428999999989</v>
      </c>
      <c r="T94" s="73">
        <v>0.0</v>
      </c>
      <c r="U94" s="73">
        <v>-32.46428999999989</v>
      </c>
      <c r="V94" s="73"/>
      <c r="W94" s="73"/>
      <c r="X94" s="73"/>
      <c r="Y94" s="73">
        <f t="shared" si="455"/>
        <v>-13.7634</v>
      </c>
      <c r="Z94" s="73">
        <v>0.0</v>
      </c>
      <c r="AA94" s="73">
        <v>-13.7634</v>
      </c>
      <c r="AB94" s="73"/>
      <c r="AC94" s="73"/>
      <c r="AD94" s="73"/>
      <c r="AE94" s="73">
        <f t="shared" ref="AE94:AG94" si="456">M94+S94+Y94</f>
        <v>-46.22769</v>
      </c>
      <c r="AF94" s="73">
        <f t="shared" si="456"/>
        <v>0</v>
      </c>
      <c r="AG94" s="73">
        <f t="shared" si="456"/>
        <v>-46.22769</v>
      </c>
      <c r="AH94" s="73"/>
      <c r="AI94" s="73"/>
      <c r="AJ94" s="73"/>
      <c r="AK94" s="73">
        <v>-24.88529</v>
      </c>
      <c r="AL94" s="73">
        <v>0.0</v>
      </c>
      <c r="AM94" s="73">
        <v>-24.88529</v>
      </c>
      <c r="AN94" s="73"/>
      <c r="AO94" s="73"/>
      <c r="AP94" s="73"/>
      <c r="AQ94" s="73">
        <f t="shared" ref="AQ94:AS94" si="457">AE94+AK94</f>
        <v>-71.11298</v>
      </c>
      <c r="AR94" s="73">
        <f t="shared" si="457"/>
        <v>0</v>
      </c>
      <c r="AS94" s="73">
        <f t="shared" si="457"/>
        <v>-71.11298</v>
      </c>
      <c r="AT94" s="73"/>
      <c r="AU94" s="73"/>
      <c r="AV94" s="73"/>
      <c r="AW94" s="73">
        <v>-51.53723</v>
      </c>
      <c r="AX94" s="73">
        <v>0.0</v>
      </c>
      <c r="AY94" s="73">
        <v>-51.53723</v>
      </c>
      <c r="AZ94" s="73"/>
      <c r="BA94" s="73"/>
      <c r="BB94" s="73"/>
      <c r="BC94" s="73">
        <f t="shared" ref="BC94:BE94" si="458">AQ94+AW94</f>
        <v>-122.65021</v>
      </c>
      <c r="BD94" s="73">
        <f t="shared" si="458"/>
        <v>0</v>
      </c>
      <c r="BE94" s="73">
        <f t="shared" si="458"/>
        <v>-122.65021</v>
      </c>
      <c r="BF94" s="73"/>
      <c r="BG94" s="73"/>
      <c r="BH94" s="73"/>
      <c r="BI94" s="73"/>
      <c r="BJ94" s="73"/>
      <c r="BK94" s="73"/>
      <c r="BL94" s="73"/>
      <c r="BM94" s="73"/>
      <c r="BN94" s="73"/>
      <c r="BO94" s="73"/>
      <c r="BP94" s="73"/>
      <c r="BQ94" s="73"/>
      <c r="BR94" s="73"/>
      <c r="BS94" s="73"/>
      <c r="BT94" s="73"/>
      <c r="BU94" s="73"/>
      <c r="BV94" s="73"/>
      <c r="BW94" s="73"/>
      <c r="BX94" s="73"/>
      <c r="BY94" s="73"/>
      <c r="BZ94" s="73"/>
      <c r="CA94" s="73"/>
      <c r="CB94" s="73"/>
      <c r="CC94" s="73"/>
      <c r="CD94" s="73"/>
      <c r="CE94" s="73"/>
      <c r="CF94" s="73"/>
      <c r="CG94" s="73"/>
      <c r="CH94" s="73"/>
      <c r="CI94" s="73"/>
      <c r="CJ94" s="73"/>
      <c r="CK94" s="73"/>
      <c r="CL94" s="73"/>
      <c r="CM94" s="73"/>
      <c r="CN94" s="73"/>
      <c r="CO94" s="73"/>
      <c r="CP94" s="73"/>
      <c r="CQ94" s="73"/>
      <c r="CR94" s="73"/>
      <c r="CS94" s="73"/>
      <c r="CT94" s="73"/>
      <c r="CU94" s="73"/>
      <c r="CV94" s="73"/>
      <c r="CW94" s="73"/>
      <c r="CX94" s="73"/>
      <c r="CY94" s="73"/>
      <c r="CZ94" s="73"/>
      <c r="DA94" s="73"/>
      <c r="DB94" s="73"/>
      <c r="DC94" s="73"/>
      <c r="DD94" s="73"/>
      <c r="DE94" s="73"/>
      <c r="DF94" s="73"/>
      <c r="DG94" s="73"/>
      <c r="DH94" s="73"/>
      <c r="DI94" s="73"/>
      <c r="DJ94" s="73"/>
      <c r="DK94" s="73"/>
      <c r="DL94" s="73"/>
      <c r="DM94" s="73"/>
      <c r="DN94" s="73"/>
      <c r="DO94" s="73"/>
      <c r="DP94" s="73"/>
      <c r="DQ94" s="73"/>
      <c r="DR94" s="73"/>
      <c r="DS94" s="73"/>
      <c r="DT94" s="73"/>
      <c r="DU94" s="74"/>
      <c r="DV94" s="74"/>
      <c r="DW94" s="74"/>
      <c r="DX94" s="74"/>
      <c r="DY94" s="74"/>
      <c r="DZ94" s="74"/>
      <c r="EA94" s="82"/>
    </row>
    <row r="95" ht="21.75" customHeight="1">
      <c r="A95" s="64"/>
      <c r="B95" s="70"/>
      <c r="C95" s="71"/>
      <c r="D95" s="71"/>
      <c r="E95" s="71"/>
      <c r="F95" s="78" t="s">
        <v>51</v>
      </c>
      <c r="G95" s="73"/>
      <c r="H95" s="73"/>
      <c r="I95" s="73"/>
      <c r="J95" s="73"/>
      <c r="K95" s="73"/>
      <c r="L95" s="73"/>
      <c r="M95" s="79">
        <f t="shared" ref="M95:O95" si="459">M96+M97</f>
        <v>-0.08</v>
      </c>
      <c r="N95" s="79">
        <f t="shared" si="459"/>
        <v>0</v>
      </c>
      <c r="O95" s="79">
        <f t="shared" si="459"/>
        <v>-0.08</v>
      </c>
      <c r="P95" s="73"/>
      <c r="Q95" s="73"/>
      <c r="R95" s="73"/>
      <c r="S95" s="79">
        <f t="shared" ref="S95:U95" si="460">S96+S97</f>
        <v>228.22209</v>
      </c>
      <c r="T95" s="79">
        <f t="shared" si="460"/>
        <v>0</v>
      </c>
      <c r="U95" s="79">
        <f t="shared" si="460"/>
        <v>228.22209</v>
      </c>
      <c r="V95" s="73"/>
      <c r="W95" s="73"/>
      <c r="X95" s="73"/>
      <c r="Y95" s="79">
        <f t="shared" ref="Y95:AA95" si="461">Y96+Y97</f>
        <v>3791.3</v>
      </c>
      <c r="Z95" s="79">
        <f t="shared" si="461"/>
        <v>0</v>
      </c>
      <c r="AA95" s="79">
        <f t="shared" si="461"/>
        <v>3791.3</v>
      </c>
      <c r="AB95" s="73"/>
      <c r="AC95" s="73"/>
      <c r="AD95" s="73"/>
      <c r="AE95" s="79">
        <f t="shared" ref="AE95:AG95" si="462">M95+S95+Y95</f>
        <v>4019.44209</v>
      </c>
      <c r="AF95" s="79">
        <f t="shared" si="462"/>
        <v>0</v>
      </c>
      <c r="AG95" s="79">
        <f t="shared" si="462"/>
        <v>4019.44209</v>
      </c>
      <c r="AH95" s="73"/>
      <c r="AI95" s="73"/>
      <c r="AJ95" s="73"/>
      <c r="AK95" s="79">
        <f t="shared" ref="AK95:AM95" si="463">AK96+AK97</f>
        <v>12056.39045</v>
      </c>
      <c r="AL95" s="79">
        <f t="shared" si="463"/>
        <v>0</v>
      </c>
      <c r="AM95" s="79">
        <f t="shared" si="463"/>
        <v>12056.39045</v>
      </c>
      <c r="AN95" s="73"/>
      <c r="AO95" s="73"/>
      <c r="AP95" s="73"/>
      <c r="AQ95" s="79">
        <f t="shared" ref="AQ95:AS95" si="464">AE95+AK95</f>
        <v>16075.83254</v>
      </c>
      <c r="AR95" s="79">
        <f t="shared" si="464"/>
        <v>0</v>
      </c>
      <c r="AS95" s="79">
        <f t="shared" si="464"/>
        <v>16075.83254</v>
      </c>
      <c r="AT95" s="73"/>
      <c r="AU95" s="73"/>
      <c r="AV95" s="73"/>
      <c r="AW95" s="79">
        <f t="shared" ref="AW95:AY95" si="465">AW96+AW97</f>
        <v>1275.175</v>
      </c>
      <c r="AX95" s="79">
        <f t="shared" si="465"/>
        <v>0</v>
      </c>
      <c r="AY95" s="79">
        <f t="shared" si="465"/>
        <v>1275.175</v>
      </c>
      <c r="AZ95" s="73"/>
      <c r="BA95" s="73"/>
      <c r="BB95" s="73"/>
      <c r="BC95" s="79">
        <f t="shared" ref="BC95:BE95" si="466">AQ95+AW95</f>
        <v>17351.00754</v>
      </c>
      <c r="BD95" s="79">
        <f t="shared" si="466"/>
        <v>0</v>
      </c>
      <c r="BE95" s="79">
        <f t="shared" si="466"/>
        <v>17351.00754</v>
      </c>
      <c r="BF95" s="73">
        <f t="shared" ref="BF95:DY95" si="467">BF97+BF98+BF99</f>
        <v>0</v>
      </c>
      <c r="BG95" s="73">
        <f t="shared" si="467"/>
        <v>0</v>
      </c>
      <c r="BH95" s="73">
        <f t="shared" si="467"/>
        <v>0</v>
      </c>
      <c r="BI95" s="73">
        <f t="shared" si="467"/>
        <v>0</v>
      </c>
      <c r="BJ95" s="73">
        <f t="shared" si="467"/>
        <v>0</v>
      </c>
      <c r="BK95" s="73">
        <f t="shared" si="467"/>
        <v>0</v>
      </c>
      <c r="BL95" s="73">
        <f t="shared" si="467"/>
        <v>0</v>
      </c>
      <c r="BM95" s="73">
        <f t="shared" si="467"/>
        <v>0</v>
      </c>
      <c r="BN95" s="73">
        <f t="shared" si="467"/>
        <v>0</v>
      </c>
      <c r="BO95" s="73">
        <f t="shared" si="467"/>
        <v>0</v>
      </c>
      <c r="BP95" s="73">
        <f t="shared" si="467"/>
        <v>0</v>
      </c>
      <c r="BQ95" s="73">
        <f t="shared" si="467"/>
        <v>0</v>
      </c>
      <c r="BR95" s="73">
        <f t="shared" si="467"/>
        <v>0</v>
      </c>
      <c r="BS95" s="73">
        <f t="shared" si="467"/>
        <v>0</v>
      </c>
      <c r="BT95" s="73">
        <f t="shared" si="467"/>
        <v>0</v>
      </c>
      <c r="BU95" s="73">
        <f t="shared" si="467"/>
        <v>0</v>
      </c>
      <c r="BV95" s="73">
        <f t="shared" si="467"/>
        <v>0</v>
      </c>
      <c r="BW95" s="73">
        <f t="shared" si="467"/>
        <v>0</v>
      </c>
      <c r="BX95" s="73">
        <f t="shared" si="467"/>
        <v>0</v>
      </c>
      <c r="BY95" s="73">
        <f t="shared" si="467"/>
        <v>0</v>
      </c>
      <c r="BZ95" s="73">
        <f t="shared" si="467"/>
        <v>0</v>
      </c>
      <c r="CA95" s="73">
        <f t="shared" si="467"/>
        <v>0</v>
      </c>
      <c r="CB95" s="73">
        <f t="shared" si="467"/>
        <v>0</v>
      </c>
      <c r="CC95" s="73">
        <f t="shared" si="467"/>
        <v>0</v>
      </c>
      <c r="CD95" s="73">
        <f t="shared" si="467"/>
        <v>0</v>
      </c>
      <c r="CE95" s="73">
        <f t="shared" si="467"/>
        <v>0</v>
      </c>
      <c r="CF95" s="73">
        <f t="shared" si="467"/>
        <v>0</v>
      </c>
      <c r="CG95" s="73">
        <f t="shared" si="467"/>
        <v>0</v>
      </c>
      <c r="CH95" s="73">
        <f t="shared" si="467"/>
        <v>0</v>
      </c>
      <c r="CI95" s="73">
        <f t="shared" si="467"/>
        <v>0</v>
      </c>
      <c r="CJ95" s="73">
        <f t="shared" si="467"/>
        <v>0</v>
      </c>
      <c r="CK95" s="73">
        <f t="shared" si="467"/>
        <v>0</v>
      </c>
      <c r="CL95" s="73">
        <f t="shared" si="467"/>
        <v>0</v>
      </c>
      <c r="CM95" s="73">
        <f t="shared" si="467"/>
        <v>0</v>
      </c>
      <c r="CN95" s="73">
        <f t="shared" si="467"/>
        <v>0</v>
      </c>
      <c r="CO95" s="73">
        <f t="shared" si="467"/>
        <v>0</v>
      </c>
      <c r="CP95" s="73">
        <f t="shared" si="467"/>
        <v>0</v>
      </c>
      <c r="CQ95" s="73">
        <f t="shared" si="467"/>
        <v>0</v>
      </c>
      <c r="CR95" s="73">
        <f t="shared" si="467"/>
        <v>0</v>
      </c>
      <c r="CS95" s="73">
        <f t="shared" si="467"/>
        <v>0</v>
      </c>
      <c r="CT95" s="73">
        <f t="shared" si="467"/>
        <v>0</v>
      </c>
      <c r="CU95" s="73">
        <f t="shared" si="467"/>
        <v>0</v>
      </c>
      <c r="CV95" s="73">
        <f t="shared" si="467"/>
        <v>0</v>
      </c>
      <c r="CW95" s="73">
        <f t="shared" si="467"/>
        <v>0</v>
      </c>
      <c r="CX95" s="73">
        <f t="shared" si="467"/>
        <v>0</v>
      </c>
      <c r="CY95" s="73">
        <f t="shared" si="467"/>
        <v>0</v>
      </c>
      <c r="CZ95" s="73">
        <f t="shared" si="467"/>
        <v>0</v>
      </c>
      <c r="DA95" s="73">
        <f t="shared" si="467"/>
        <v>0</v>
      </c>
      <c r="DB95" s="73">
        <f t="shared" si="467"/>
        <v>0</v>
      </c>
      <c r="DC95" s="73">
        <f t="shared" si="467"/>
        <v>0</v>
      </c>
      <c r="DD95" s="73">
        <f t="shared" si="467"/>
        <v>0</v>
      </c>
      <c r="DE95" s="73">
        <f t="shared" si="467"/>
        <v>0</v>
      </c>
      <c r="DF95" s="73">
        <f t="shared" si="467"/>
        <v>0</v>
      </c>
      <c r="DG95" s="73">
        <f t="shared" si="467"/>
        <v>0</v>
      </c>
      <c r="DH95" s="73">
        <f t="shared" si="467"/>
        <v>0</v>
      </c>
      <c r="DI95" s="73">
        <f t="shared" si="467"/>
        <v>0</v>
      </c>
      <c r="DJ95" s="73">
        <f t="shared" si="467"/>
        <v>0</v>
      </c>
      <c r="DK95" s="73">
        <f t="shared" si="467"/>
        <v>0</v>
      </c>
      <c r="DL95" s="73">
        <f t="shared" si="467"/>
        <v>0</v>
      </c>
      <c r="DM95" s="73">
        <f t="shared" si="467"/>
        <v>0</v>
      </c>
      <c r="DN95" s="73">
        <f t="shared" si="467"/>
        <v>0</v>
      </c>
      <c r="DO95" s="73">
        <f t="shared" si="467"/>
        <v>0</v>
      </c>
      <c r="DP95" s="73">
        <f t="shared" si="467"/>
        <v>0</v>
      </c>
      <c r="DQ95" s="73">
        <f t="shared" si="467"/>
        <v>0</v>
      </c>
      <c r="DR95" s="73">
        <f t="shared" si="467"/>
        <v>0</v>
      </c>
      <c r="DS95" s="73">
        <f t="shared" si="467"/>
        <v>0</v>
      </c>
      <c r="DT95" s="73">
        <f t="shared" si="467"/>
        <v>0</v>
      </c>
      <c r="DU95" s="73">
        <f t="shared" si="467"/>
        <v>0</v>
      </c>
      <c r="DV95" s="73">
        <f t="shared" si="467"/>
        <v>0</v>
      </c>
      <c r="DW95" s="73">
        <f t="shared" si="467"/>
        <v>0</v>
      </c>
      <c r="DX95" s="73">
        <f t="shared" si="467"/>
        <v>0</v>
      </c>
      <c r="DY95" s="73">
        <f t="shared" si="467"/>
        <v>0</v>
      </c>
      <c r="DZ95" s="73"/>
      <c r="EA95" s="82"/>
    </row>
    <row r="96" ht="21.75" customHeight="1">
      <c r="A96" s="64"/>
      <c r="B96" s="70"/>
      <c r="C96" s="71"/>
      <c r="D96" s="71"/>
      <c r="E96" s="71"/>
      <c r="F96" s="81" t="s">
        <v>47</v>
      </c>
      <c r="G96" s="73"/>
      <c r="H96" s="73"/>
      <c r="I96" s="73"/>
      <c r="J96" s="73"/>
      <c r="K96" s="73"/>
      <c r="L96" s="73"/>
      <c r="M96" s="73">
        <v>0.0</v>
      </c>
      <c r="N96" s="73">
        <v>0.0</v>
      </c>
      <c r="O96" s="73">
        <v>0.0</v>
      </c>
      <c r="P96" s="73"/>
      <c r="Q96" s="73"/>
      <c r="R96" s="73"/>
      <c r="S96" s="73">
        <v>159.02209</v>
      </c>
      <c r="T96" s="73">
        <v>0.0</v>
      </c>
      <c r="U96" s="73">
        <v>159.02209</v>
      </c>
      <c r="V96" s="73"/>
      <c r="W96" s="73"/>
      <c r="X96" s="73"/>
      <c r="Y96" s="73">
        <v>0.0</v>
      </c>
      <c r="Z96" s="73">
        <v>0.0</v>
      </c>
      <c r="AA96" s="73">
        <v>0.0</v>
      </c>
      <c r="AB96" s="73"/>
      <c r="AC96" s="73"/>
      <c r="AD96" s="73"/>
      <c r="AE96" s="73">
        <f t="shared" ref="AE96:AG96" si="468">M96+S96+Y96</f>
        <v>159.02209</v>
      </c>
      <c r="AF96" s="73">
        <f t="shared" si="468"/>
        <v>0</v>
      </c>
      <c r="AG96" s="73">
        <f t="shared" si="468"/>
        <v>159.02209</v>
      </c>
      <c r="AH96" s="73"/>
      <c r="AI96" s="73"/>
      <c r="AJ96" s="73"/>
      <c r="AK96" s="73">
        <v>49.70441</v>
      </c>
      <c r="AL96" s="73">
        <v>0.0</v>
      </c>
      <c r="AM96" s="73">
        <v>49.70441</v>
      </c>
      <c r="AN96" s="73"/>
      <c r="AO96" s="73"/>
      <c r="AP96" s="73"/>
      <c r="AQ96" s="73">
        <f t="shared" ref="AQ96:AS96" si="469">AE96+AK96</f>
        <v>208.7265</v>
      </c>
      <c r="AR96" s="73">
        <f t="shared" si="469"/>
        <v>0</v>
      </c>
      <c r="AS96" s="73">
        <f t="shared" si="469"/>
        <v>208.7265</v>
      </c>
      <c r="AT96" s="73"/>
      <c r="AU96" s="73"/>
      <c r="AV96" s="73"/>
      <c r="AW96" s="73">
        <v>0.0</v>
      </c>
      <c r="AX96" s="73">
        <v>0.0</v>
      </c>
      <c r="AY96" s="73">
        <v>0.0</v>
      </c>
      <c r="AZ96" s="73"/>
      <c r="BA96" s="73"/>
      <c r="BB96" s="73"/>
      <c r="BC96" s="73">
        <f t="shared" ref="BC96:BE96" si="470">AQ96+AW96</f>
        <v>208.7265</v>
      </c>
      <c r="BD96" s="73">
        <f t="shared" si="470"/>
        <v>0</v>
      </c>
      <c r="BE96" s="73">
        <f t="shared" si="470"/>
        <v>208.7265</v>
      </c>
      <c r="BF96" s="73"/>
      <c r="BG96" s="73"/>
      <c r="BH96" s="73"/>
      <c r="BI96" s="73"/>
      <c r="BJ96" s="73"/>
      <c r="BK96" s="73"/>
      <c r="BL96" s="73"/>
      <c r="BM96" s="73"/>
      <c r="BN96" s="73"/>
      <c r="BO96" s="73"/>
      <c r="BP96" s="73"/>
      <c r="BQ96" s="73"/>
      <c r="BR96" s="73"/>
      <c r="BS96" s="73"/>
      <c r="BT96" s="73"/>
      <c r="BU96" s="73"/>
      <c r="BV96" s="73"/>
      <c r="BW96" s="73"/>
      <c r="BX96" s="73"/>
      <c r="BY96" s="73"/>
      <c r="BZ96" s="73"/>
      <c r="CA96" s="73"/>
      <c r="CB96" s="73"/>
      <c r="CC96" s="73"/>
      <c r="CD96" s="73"/>
      <c r="CE96" s="73"/>
      <c r="CF96" s="73"/>
      <c r="CG96" s="73"/>
      <c r="CH96" s="73"/>
      <c r="CI96" s="73"/>
      <c r="CJ96" s="73"/>
      <c r="CK96" s="73"/>
      <c r="CL96" s="73"/>
      <c r="CM96" s="73"/>
      <c r="CN96" s="73"/>
      <c r="CO96" s="73"/>
      <c r="CP96" s="73"/>
      <c r="CQ96" s="73"/>
      <c r="CR96" s="73"/>
      <c r="CS96" s="73"/>
      <c r="CT96" s="73"/>
      <c r="CU96" s="73"/>
      <c r="CV96" s="73"/>
      <c r="CW96" s="73"/>
      <c r="CX96" s="73"/>
      <c r="CY96" s="73"/>
      <c r="CZ96" s="73"/>
      <c r="DA96" s="73"/>
      <c r="DB96" s="73"/>
      <c r="DC96" s="73"/>
      <c r="DD96" s="73"/>
      <c r="DE96" s="73"/>
      <c r="DF96" s="73"/>
      <c r="DG96" s="73"/>
      <c r="DH96" s="73"/>
      <c r="DI96" s="73"/>
      <c r="DJ96" s="73"/>
      <c r="DK96" s="73"/>
      <c r="DL96" s="73"/>
      <c r="DM96" s="73"/>
      <c r="DN96" s="73"/>
      <c r="DO96" s="73"/>
      <c r="DP96" s="73"/>
      <c r="DQ96" s="73"/>
      <c r="DR96" s="73"/>
      <c r="DS96" s="73"/>
      <c r="DT96" s="73"/>
      <c r="DU96" s="73"/>
      <c r="DV96" s="73"/>
      <c r="DW96" s="73"/>
      <c r="DX96" s="73"/>
      <c r="DY96" s="73"/>
      <c r="DZ96" s="73"/>
      <c r="EA96" s="82"/>
    </row>
    <row r="97" ht="21.75" customHeight="1">
      <c r="A97" s="64"/>
      <c r="B97" s="70"/>
      <c r="C97" s="71"/>
      <c r="D97" s="71"/>
      <c r="E97" s="71"/>
      <c r="F97" s="81" t="s">
        <v>52</v>
      </c>
      <c r="G97" s="73"/>
      <c r="H97" s="73"/>
      <c r="I97" s="73"/>
      <c r="J97" s="73"/>
      <c r="K97" s="73"/>
      <c r="L97" s="73"/>
      <c r="M97" s="73">
        <f t="shared" ref="M97:M99" si="474">N97+O97</f>
        <v>-0.08</v>
      </c>
      <c r="N97" s="73">
        <v>0.0</v>
      </c>
      <c r="O97" s="73">
        <v>-0.08</v>
      </c>
      <c r="P97" s="73"/>
      <c r="Q97" s="73"/>
      <c r="R97" s="73"/>
      <c r="S97" s="73">
        <f t="shared" ref="S97:S99" si="475">T97+U97</f>
        <v>69.2</v>
      </c>
      <c r="T97" s="73">
        <v>0.0</v>
      </c>
      <c r="U97" s="73">
        <v>69.2</v>
      </c>
      <c r="V97" s="73"/>
      <c r="W97" s="73"/>
      <c r="X97" s="73"/>
      <c r="Y97" s="73">
        <f t="shared" ref="Y97:Y99" si="476">Z97+AA97</f>
        <v>3791.3</v>
      </c>
      <c r="Z97" s="73">
        <v>0.0</v>
      </c>
      <c r="AA97" s="83">
        <v>3791.3</v>
      </c>
      <c r="AB97" s="73"/>
      <c r="AC97" s="73"/>
      <c r="AD97" s="73"/>
      <c r="AE97" s="73">
        <f t="shared" ref="AE97:AG97" si="471">M97+S97+Y97</f>
        <v>3860.42</v>
      </c>
      <c r="AF97" s="73">
        <f t="shared" si="471"/>
        <v>0</v>
      </c>
      <c r="AG97" s="83">
        <f t="shared" si="471"/>
        <v>3860.42</v>
      </c>
      <c r="AH97" s="73"/>
      <c r="AI97" s="73"/>
      <c r="AJ97" s="73"/>
      <c r="AK97" s="73">
        <v>12006.68604</v>
      </c>
      <c r="AL97" s="73">
        <v>0.0</v>
      </c>
      <c r="AM97" s="73">
        <v>12006.68604</v>
      </c>
      <c r="AN97" s="73"/>
      <c r="AO97" s="73"/>
      <c r="AP97" s="73"/>
      <c r="AQ97" s="73">
        <f t="shared" ref="AQ97:AS97" si="472">AE97+AK97</f>
        <v>15867.10604</v>
      </c>
      <c r="AR97" s="73">
        <f t="shared" si="472"/>
        <v>0</v>
      </c>
      <c r="AS97" s="73">
        <f t="shared" si="472"/>
        <v>15867.10604</v>
      </c>
      <c r="AT97" s="73"/>
      <c r="AU97" s="73"/>
      <c r="AV97" s="73"/>
      <c r="AW97" s="73">
        <f t="shared" ref="AW97:AW99" si="479">AX97+AY97</f>
        <v>1275.175</v>
      </c>
      <c r="AX97" s="73">
        <v>0.0</v>
      </c>
      <c r="AY97" s="73">
        <v>1275.175</v>
      </c>
      <c r="AZ97" s="73"/>
      <c r="BA97" s="73"/>
      <c r="BB97" s="73"/>
      <c r="BC97" s="73">
        <f t="shared" ref="BC97:BE97" si="473">AQ97+AW97</f>
        <v>17142.28104</v>
      </c>
      <c r="BD97" s="73">
        <f t="shared" si="473"/>
        <v>0</v>
      </c>
      <c r="BE97" s="73">
        <f t="shared" si="473"/>
        <v>17142.28104</v>
      </c>
      <c r="BF97" s="73"/>
      <c r="BG97" s="73"/>
      <c r="BH97" s="73"/>
      <c r="BI97" s="73"/>
      <c r="BJ97" s="73"/>
      <c r="BK97" s="73"/>
      <c r="BL97" s="73"/>
      <c r="BM97" s="73"/>
      <c r="BN97" s="73"/>
      <c r="BO97" s="73"/>
      <c r="BP97" s="73"/>
      <c r="BQ97" s="73"/>
      <c r="BR97" s="73"/>
      <c r="BS97" s="73"/>
      <c r="BT97" s="73"/>
      <c r="BU97" s="73"/>
      <c r="BV97" s="73"/>
      <c r="BW97" s="73"/>
      <c r="BX97" s="73"/>
      <c r="BY97" s="73"/>
      <c r="BZ97" s="73"/>
      <c r="CA97" s="73"/>
      <c r="CB97" s="73"/>
      <c r="CC97" s="73"/>
      <c r="CD97" s="73"/>
      <c r="CE97" s="73"/>
      <c r="CF97" s="73"/>
      <c r="CG97" s="73"/>
      <c r="CH97" s="73"/>
      <c r="CI97" s="73"/>
      <c r="CJ97" s="73"/>
      <c r="CK97" s="73"/>
      <c r="CL97" s="73"/>
      <c r="CM97" s="73"/>
      <c r="CN97" s="73"/>
      <c r="CO97" s="73"/>
      <c r="CP97" s="73"/>
      <c r="CQ97" s="73"/>
      <c r="CR97" s="73"/>
      <c r="CS97" s="73"/>
      <c r="CT97" s="73"/>
      <c r="CU97" s="73"/>
      <c r="CV97" s="73"/>
      <c r="CW97" s="73"/>
      <c r="CX97" s="73"/>
      <c r="CY97" s="73"/>
      <c r="CZ97" s="73"/>
      <c r="DA97" s="73"/>
      <c r="DB97" s="73"/>
      <c r="DC97" s="73"/>
      <c r="DD97" s="73"/>
      <c r="DE97" s="73"/>
      <c r="DF97" s="73"/>
      <c r="DG97" s="73"/>
      <c r="DH97" s="73"/>
      <c r="DI97" s="73"/>
      <c r="DJ97" s="73"/>
      <c r="DK97" s="73"/>
      <c r="DL97" s="73"/>
      <c r="DM97" s="73"/>
      <c r="DN97" s="73"/>
      <c r="DO97" s="73"/>
      <c r="DP97" s="73"/>
      <c r="DQ97" s="73"/>
      <c r="DR97" s="73"/>
      <c r="DS97" s="73"/>
      <c r="DT97" s="73"/>
      <c r="DU97" s="74"/>
      <c r="DV97" s="74"/>
      <c r="DW97" s="72"/>
      <c r="DX97" s="72"/>
      <c r="DY97" s="72"/>
      <c r="DZ97" s="96"/>
      <c r="EA97" s="82" t="s">
        <v>98</v>
      </c>
    </row>
    <row r="98" ht="21.75" customHeight="1">
      <c r="A98" s="64"/>
      <c r="B98" s="70"/>
      <c r="C98" s="71"/>
      <c r="D98" s="71"/>
      <c r="E98" s="71"/>
      <c r="F98" s="78" t="s">
        <v>53</v>
      </c>
      <c r="G98" s="73"/>
      <c r="H98" s="73"/>
      <c r="I98" s="73"/>
      <c r="J98" s="73"/>
      <c r="K98" s="73"/>
      <c r="L98" s="73"/>
      <c r="M98" s="79">
        <f t="shared" si="474"/>
        <v>0</v>
      </c>
      <c r="N98" s="79">
        <v>0.0</v>
      </c>
      <c r="O98" s="79">
        <v>0.0</v>
      </c>
      <c r="P98" s="73"/>
      <c r="Q98" s="73"/>
      <c r="R98" s="73"/>
      <c r="S98" s="79">
        <f t="shared" si="475"/>
        <v>17847</v>
      </c>
      <c r="T98" s="79">
        <v>0.0</v>
      </c>
      <c r="U98" s="79">
        <v>17847.0</v>
      </c>
      <c r="V98" s="73"/>
      <c r="W98" s="73"/>
      <c r="X98" s="73"/>
      <c r="Y98" s="79">
        <f t="shared" si="476"/>
        <v>58479.64502</v>
      </c>
      <c r="Z98" s="79">
        <v>0.0</v>
      </c>
      <c r="AA98" s="79">
        <v>58479.64502</v>
      </c>
      <c r="AB98" s="73"/>
      <c r="AC98" s="73"/>
      <c r="AD98" s="73"/>
      <c r="AE98" s="79">
        <f t="shared" ref="AE98:AG98" si="477">M98+S98+Y98</f>
        <v>76326.64502</v>
      </c>
      <c r="AF98" s="79">
        <f t="shared" si="477"/>
        <v>0</v>
      </c>
      <c r="AG98" s="79">
        <f t="shared" si="477"/>
        <v>76326.64502</v>
      </c>
      <c r="AH98" s="73"/>
      <c r="AI98" s="73"/>
      <c r="AJ98" s="73"/>
      <c r="AK98" s="79">
        <f t="shared" ref="AK98:AK99" si="482">AL98+AM98</f>
        <v>0</v>
      </c>
      <c r="AL98" s="79">
        <v>0.0</v>
      </c>
      <c r="AM98" s="79">
        <v>0.0</v>
      </c>
      <c r="AN98" s="73"/>
      <c r="AO98" s="73"/>
      <c r="AP98" s="73"/>
      <c r="AQ98" s="79">
        <f t="shared" ref="AQ98:AS98" si="478">AE98+AK98</f>
        <v>76326.64502</v>
      </c>
      <c r="AR98" s="79">
        <f t="shared" si="478"/>
        <v>0</v>
      </c>
      <c r="AS98" s="79">
        <f t="shared" si="478"/>
        <v>76326.64502</v>
      </c>
      <c r="AT98" s="73"/>
      <c r="AU98" s="73"/>
      <c r="AV98" s="73"/>
      <c r="AW98" s="79">
        <f t="shared" si="479"/>
        <v>0</v>
      </c>
      <c r="AX98" s="79">
        <v>0.0</v>
      </c>
      <c r="AY98" s="79">
        <v>0.0</v>
      </c>
      <c r="AZ98" s="73"/>
      <c r="BA98" s="73"/>
      <c r="BB98" s="73"/>
      <c r="BC98" s="79">
        <f t="shared" ref="BC98:BE98" si="480">AQ98+AW98</f>
        <v>76326.64502</v>
      </c>
      <c r="BD98" s="79">
        <f t="shared" si="480"/>
        <v>0</v>
      </c>
      <c r="BE98" s="79">
        <f t="shared" si="480"/>
        <v>76326.64502</v>
      </c>
      <c r="BF98" s="73"/>
      <c r="BG98" s="73"/>
      <c r="BH98" s="73"/>
      <c r="BI98" s="73"/>
      <c r="BJ98" s="73"/>
      <c r="BK98" s="73"/>
      <c r="BL98" s="73"/>
      <c r="BM98" s="73"/>
      <c r="BN98" s="73"/>
      <c r="BO98" s="73"/>
      <c r="BP98" s="73"/>
      <c r="BQ98" s="73"/>
      <c r="BR98" s="73"/>
      <c r="BS98" s="73"/>
      <c r="BT98" s="73"/>
      <c r="BU98" s="73"/>
      <c r="BV98" s="73"/>
      <c r="BW98" s="73"/>
      <c r="BX98" s="73"/>
      <c r="BY98" s="73"/>
      <c r="BZ98" s="73"/>
      <c r="CA98" s="73"/>
      <c r="CB98" s="73"/>
      <c r="CC98" s="73"/>
      <c r="CD98" s="73"/>
      <c r="CE98" s="73"/>
      <c r="CF98" s="73"/>
      <c r="CG98" s="73"/>
      <c r="CH98" s="73"/>
      <c r="CI98" s="73"/>
      <c r="CJ98" s="73"/>
      <c r="CK98" s="73"/>
      <c r="CL98" s="73"/>
      <c r="CM98" s="73"/>
      <c r="CN98" s="73"/>
      <c r="CO98" s="73"/>
      <c r="CP98" s="73"/>
      <c r="CQ98" s="73"/>
      <c r="CR98" s="73"/>
      <c r="CS98" s="73"/>
      <c r="CT98" s="73"/>
      <c r="CU98" s="73"/>
      <c r="CV98" s="73"/>
      <c r="CW98" s="73"/>
      <c r="CX98" s="73"/>
      <c r="CY98" s="73"/>
      <c r="CZ98" s="73"/>
      <c r="DA98" s="73"/>
      <c r="DB98" s="73"/>
      <c r="DC98" s="73"/>
      <c r="DD98" s="73"/>
      <c r="DE98" s="73"/>
      <c r="DF98" s="73"/>
      <c r="DG98" s="73"/>
      <c r="DH98" s="73"/>
      <c r="DI98" s="73"/>
      <c r="DJ98" s="73"/>
      <c r="DK98" s="73"/>
      <c r="DL98" s="73"/>
      <c r="DM98" s="73"/>
      <c r="DN98" s="73"/>
      <c r="DO98" s="73"/>
      <c r="DP98" s="73"/>
      <c r="DQ98" s="73"/>
      <c r="DR98" s="73"/>
      <c r="DS98" s="73"/>
      <c r="DT98" s="73"/>
      <c r="DU98" s="74"/>
      <c r="DV98" s="74"/>
      <c r="DW98" s="72"/>
      <c r="DX98" s="72"/>
      <c r="DY98" s="72"/>
      <c r="DZ98" s="72"/>
      <c r="EA98" s="76" t="s">
        <v>99</v>
      </c>
    </row>
    <row r="99" ht="21.75" customHeight="1">
      <c r="A99" s="64"/>
      <c r="B99" s="92"/>
      <c r="C99" s="72"/>
      <c r="D99" s="71"/>
      <c r="E99" s="71"/>
      <c r="F99" s="78" t="s">
        <v>55</v>
      </c>
      <c r="G99" s="73"/>
      <c r="H99" s="73"/>
      <c r="I99" s="73"/>
      <c r="J99" s="73"/>
      <c r="K99" s="73"/>
      <c r="L99" s="73"/>
      <c r="M99" s="79">
        <f t="shared" si="474"/>
        <v>0</v>
      </c>
      <c r="N99" s="79">
        <v>0.0</v>
      </c>
      <c r="O99" s="79">
        <v>0.0</v>
      </c>
      <c r="P99" s="73"/>
      <c r="Q99" s="73"/>
      <c r="R99" s="73"/>
      <c r="S99" s="79">
        <f t="shared" si="475"/>
        <v>0</v>
      </c>
      <c r="T99" s="79">
        <v>0.0</v>
      </c>
      <c r="U99" s="79">
        <v>0.0</v>
      </c>
      <c r="V99" s="73"/>
      <c r="W99" s="73"/>
      <c r="X99" s="73"/>
      <c r="Y99" s="79">
        <f t="shared" si="476"/>
        <v>0</v>
      </c>
      <c r="Z99" s="79">
        <v>0.0</v>
      </c>
      <c r="AA99" s="79">
        <v>0.0</v>
      </c>
      <c r="AB99" s="73"/>
      <c r="AC99" s="73"/>
      <c r="AD99" s="73"/>
      <c r="AE99" s="79">
        <f t="shared" ref="AE99:AG99" si="481">M99+S99+Y99</f>
        <v>0</v>
      </c>
      <c r="AF99" s="79">
        <f t="shared" si="481"/>
        <v>0</v>
      </c>
      <c r="AG99" s="79">
        <f t="shared" si="481"/>
        <v>0</v>
      </c>
      <c r="AH99" s="73"/>
      <c r="AI99" s="73"/>
      <c r="AJ99" s="73"/>
      <c r="AK99" s="79">
        <f t="shared" si="482"/>
        <v>0</v>
      </c>
      <c r="AL99" s="79">
        <v>0.0</v>
      </c>
      <c r="AM99" s="79">
        <v>0.0</v>
      </c>
      <c r="AN99" s="73"/>
      <c r="AO99" s="73"/>
      <c r="AP99" s="73"/>
      <c r="AQ99" s="79">
        <f t="shared" ref="AQ99:AS99" si="483">AE99+AK99</f>
        <v>0</v>
      </c>
      <c r="AR99" s="79">
        <f t="shared" si="483"/>
        <v>0</v>
      </c>
      <c r="AS99" s="79">
        <f t="shared" si="483"/>
        <v>0</v>
      </c>
      <c r="AT99" s="73"/>
      <c r="AU99" s="73"/>
      <c r="AV99" s="73"/>
      <c r="AW99" s="79">
        <f t="shared" si="479"/>
        <v>1504.6712</v>
      </c>
      <c r="AX99" s="79">
        <v>0.0</v>
      </c>
      <c r="AY99" s="79">
        <v>1504.6712</v>
      </c>
      <c r="AZ99" s="73"/>
      <c r="BA99" s="73"/>
      <c r="BB99" s="73"/>
      <c r="BC99" s="79">
        <f t="shared" ref="BC99:BE99" si="484">AQ99+AW99</f>
        <v>1504.6712</v>
      </c>
      <c r="BD99" s="79">
        <f t="shared" si="484"/>
        <v>0</v>
      </c>
      <c r="BE99" s="79">
        <f t="shared" si="484"/>
        <v>1504.6712</v>
      </c>
      <c r="BF99" s="73"/>
      <c r="BG99" s="73"/>
      <c r="BH99" s="73"/>
      <c r="BI99" s="73"/>
      <c r="BJ99" s="73"/>
      <c r="BK99" s="73"/>
      <c r="BL99" s="73"/>
      <c r="BM99" s="73"/>
      <c r="BN99" s="73"/>
      <c r="BO99" s="73"/>
      <c r="BP99" s="73"/>
      <c r="BQ99" s="73"/>
      <c r="BR99" s="73"/>
      <c r="BS99" s="73"/>
      <c r="BT99" s="73"/>
      <c r="BU99" s="73"/>
      <c r="BV99" s="73"/>
      <c r="BW99" s="73"/>
      <c r="BX99" s="73"/>
      <c r="BY99" s="73"/>
      <c r="BZ99" s="73"/>
      <c r="CA99" s="73"/>
      <c r="CB99" s="73"/>
      <c r="CC99" s="73"/>
      <c r="CD99" s="73"/>
      <c r="CE99" s="73"/>
      <c r="CF99" s="73"/>
      <c r="CG99" s="73"/>
      <c r="CH99" s="73"/>
      <c r="CI99" s="73"/>
      <c r="CJ99" s="73"/>
      <c r="CK99" s="73"/>
      <c r="CL99" s="73"/>
      <c r="CM99" s="73"/>
      <c r="CN99" s="73"/>
      <c r="CO99" s="73"/>
      <c r="CP99" s="73"/>
      <c r="CQ99" s="73"/>
      <c r="CR99" s="73"/>
      <c r="CS99" s="73"/>
      <c r="CT99" s="73"/>
      <c r="CU99" s="73"/>
      <c r="CV99" s="73"/>
      <c r="CW99" s="73"/>
      <c r="CX99" s="73"/>
      <c r="CY99" s="73"/>
      <c r="CZ99" s="73"/>
      <c r="DA99" s="73"/>
      <c r="DB99" s="73"/>
      <c r="DC99" s="73"/>
      <c r="DD99" s="73"/>
      <c r="DE99" s="73"/>
      <c r="DF99" s="73"/>
      <c r="DG99" s="73"/>
      <c r="DH99" s="73"/>
      <c r="DI99" s="73"/>
      <c r="DJ99" s="73"/>
      <c r="DK99" s="73"/>
      <c r="DL99" s="73"/>
      <c r="DM99" s="73"/>
      <c r="DN99" s="73"/>
      <c r="DO99" s="73"/>
      <c r="DP99" s="73"/>
      <c r="DQ99" s="73"/>
      <c r="DR99" s="73"/>
      <c r="DS99" s="73"/>
      <c r="DT99" s="73"/>
      <c r="DU99" s="74"/>
      <c r="DV99" s="74"/>
      <c r="DW99" s="72"/>
      <c r="DX99" s="72"/>
      <c r="DY99" s="72"/>
      <c r="DZ99" s="75"/>
      <c r="EA99" s="82" t="s">
        <v>100</v>
      </c>
    </row>
    <row r="100" ht="21.75" customHeight="1">
      <c r="A100" s="64"/>
      <c r="B100" s="70" t="s">
        <v>40</v>
      </c>
      <c r="C100" s="71" t="s">
        <v>101</v>
      </c>
      <c r="D100" s="71" t="s">
        <v>41</v>
      </c>
      <c r="E100" s="71" t="s">
        <v>102</v>
      </c>
      <c r="F100" s="72" t="s">
        <v>103</v>
      </c>
      <c r="G100" s="73">
        <v>1029642.0</v>
      </c>
      <c r="H100" s="73">
        <v>0.0</v>
      </c>
      <c r="I100" s="73">
        <v>1029642.0</v>
      </c>
      <c r="J100" s="73">
        <f t="shared" ref="J100:L100" si="485">J101+J103+J106</f>
        <v>0</v>
      </c>
      <c r="K100" s="73">
        <f t="shared" si="485"/>
        <v>0</v>
      </c>
      <c r="L100" s="73">
        <f t="shared" si="485"/>
        <v>0</v>
      </c>
      <c r="M100" s="73">
        <f t="shared" ref="M100:O100" si="486">M101+M103+M106+M109+M110</f>
        <v>3247.97866</v>
      </c>
      <c r="N100" s="73">
        <f t="shared" si="486"/>
        <v>0</v>
      </c>
      <c r="O100" s="73">
        <f t="shared" si="486"/>
        <v>3247.97866</v>
      </c>
      <c r="P100" s="73">
        <f t="shared" ref="P100:R100" si="487">P101+P103+P106</f>
        <v>0</v>
      </c>
      <c r="Q100" s="73">
        <f t="shared" si="487"/>
        <v>0</v>
      </c>
      <c r="R100" s="73">
        <f t="shared" si="487"/>
        <v>0</v>
      </c>
      <c r="S100" s="73">
        <f t="shared" ref="S100:U100" si="488">S101+S103+S106+S109+S110</f>
        <v>9904.35851</v>
      </c>
      <c r="T100" s="73">
        <f t="shared" si="488"/>
        <v>0</v>
      </c>
      <c r="U100" s="73">
        <f t="shared" si="488"/>
        <v>9904.35851</v>
      </c>
      <c r="V100" s="73">
        <v>1309.0</v>
      </c>
      <c r="W100" s="73">
        <f>W101+W103+W106</f>
        <v>0</v>
      </c>
      <c r="X100" s="73">
        <v>1309.0</v>
      </c>
      <c r="Y100" s="73">
        <f t="shared" ref="Y100:AA100" si="489">Y101+Y103+Y106+Y109+Y110</f>
        <v>12108.28557</v>
      </c>
      <c r="Z100" s="73">
        <f t="shared" si="489"/>
        <v>0</v>
      </c>
      <c r="AA100" s="73">
        <f t="shared" si="489"/>
        <v>12108.28557</v>
      </c>
      <c r="AB100" s="73">
        <f t="shared" ref="AB100:AG100" si="490">J100+P100+V100</f>
        <v>1309</v>
      </c>
      <c r="AC100" s="73">
        <f t="shared" si="490"/>
        <v>0</v>
      </c>
      <c r="AD100" s="73">
        <f t="shared" si="490"/>
        <v>1309</v>
      </c>
      <c r="AE100" s="73">
        <f t="shared" si="490"/>
        <v>25260.62274</v>
      </c>
      <c r="AF100" s="73">
        <f t="shared" si="490"/>
        <v>0</v>
      </c>
      <c r="AG100" s="73">
        <f t="shared" si="490"/>
        <v>25260.62274</v>
      </c>
      <c r="AH100" s="73">
        <v>4436.0</v>
      </c>
      <c r="AI100" s="73"/>
      <c r="AJ100" s="73">
        <v>4436.0</v>
      </c>
      <c r="AK100" s="73">
        <f t="shared" ref="AK100:AM100" si="491">AK101+AK103+AK106+AK109+AK110</f>
        <v>4995.61739</v>
      </c>
      <c r="AL100" s="73">
        <f t="shared" si="491"/>
        <v>0</v>
      </c>
      <c r="AM100" s="73">
        <f t="shared" si="491"/>
        <v>4995.61739</v>
      </c>
      <c r="AN100" s="73">
        <f t="shared" ref="AN100:AS100" si="492">AB100+AH100</f>
        <v>5745</v>
      </c>
      <c r="AO100" s="73">
        <f t="shared" si="492"/>
        <v>0</v>
      </c>
      <c r="AP100" s="73">
        <f t="shared" si="492"/>
        <v>5745</v>
      </c>
      <c r="AQ100" s="73">
        <f t="shared" si="492"/>
        <v>30256.24013</v>
      </c>
      <c r="AR100" s="73">
        <f t="shared" si="492"/>
        <v>0</v>
      </c>
      <c r="AS100" s="73">
        <f t="shared" si="492"/>
        <v>30256.24013</v>
      </c>
      <c r="AT100" s="73">
        <v>6654.0</v>
      </c>
      <c r="AU100" s="73">
        <f>AU101+AU103+AU106</f>
        <v>0</v>
      </c>
      <c r="AV100" s="73">
        <v>6654.0</v>
      </c>
      <c r="AW100" s="73">
        <f t="shared" ref="AW100:AY100" si="493">AW101+AW103+AW106+AW109+AW110</f>
        <v>9967.02843</v>
      </c>
      <c r="AX100" s="73">
        <f t="shared" si="493"/>
        <v>0</v>
      </c>
      <c r="AY100" s="73">
        <f t="shared" si="493"/>
        <v>9967.02843</v>
      </c>
      <c r="AZ100" s="73">
        <f t="shared" ref="AZ100:DY100" si="494">AN100+AT100</f>
        <v>12399</v>
      </c>
      <c r="BA100" s="73">
        <f t="shared" si="494"/>
        <v>0</v>
      </c>
      <c r="BB100" s="73">
        <f t="shared" si="494"/>
        <v>12399</v>
      </c>
      <c r="BC100" s="73">
        <f t="shared" si="494"/>
        <v>40223.26856</v>
      </c>
      <c r="BD100" s="73">
        <f t="shared" si="494"/>
        <v>0</v>
      </c>
      <c r="BE100" s="73">
        <f t="shared" si="494"/>
        <v>40223.26856</v>
      </c>
      <c r="BF100" s="73">
        <f t="shared" si="494"/>
        <v>19053</v>
      </c>
      <c r="BG100" s="73">
        <f t="shared" si="494"/>
        <v>0</v>
      </c>
      <c r="BH100" s="73">
        <f t="shared" si="494"/>
        <v>19053</v>
      </c>
      <c r="BI100" s="73">
        <f t="shared" si="494"/>
        <v>50190.29699</v>
      </c>
      <c r="BJ100" s="73">
        <f t="shared" si="494"/>
        <v>0</v>
      </c>
      <c r="BK100" s="73">
        <f t="shared" si="494"/>
        <v>50190.29699</v>
      </c>
      <c r="BL100" s="73">
        <f t="shared" si="494"/>
        <v>31452</v>
      </c>
      <c r="BM100" s="73">
        <f t="shared" si="494"/>
        <v>0</v>
      </c>
      <c r="BN100" s="73">
        <f t="shared" si="494"/>
        <v>31452</v>
      </c>
      <c r="BO100" s="73">
        <f t="shared" si="494"/>
        <v>90413.56555</v>
      </c>
      <c r="BP100" s="73">
        <f t="shared" si="494"/>
        <v>0</v>
      </c>
      <c r="BQ100" s="73">
        <f t="shared" si="494"/>
        <v>90413.56555</v>
      </c>
      <c r="BR100" s="73">
        <f t="shared" si="494"/>
        <v>50505</v>
      </c>
      <c r="BS100" s="73">
        <f t="shared" si="494"/>
        <v>0</v>
      </c>
      <c r="BT100" s="73">
        <f t="shared" si="494"/>
        <v>50505</v>
      </c>
      <c r="BU100" s="73">
        <f t="shared" si="494"/>
        <v>140603.8625</v>
      </c>
      <c r="BV100" s="73">
        <f t="shared" si="494"/>
        <v>0</v>
      </c>
      <c r="BW100" s="73">
        <f t="shared" si="494"/>
        <v>140603.8625</v>
      </c>
      <c r="BX100" s="73">
        <f t="shared" si="494"/>
        <v>81957</v>
      </c>
      <c r="BY100" s="73">
        <f t="shared" si="494"/>
        <v>0</v>
      </c>
      <c r="BZ100" s="73">
        <f t="shared" si="494"/>
        <v>81957</v>
      </c>
      <c r="CA100" s="73">
        <f t="shared" si="494"/>
        <v>231017.4281</v>
      </c>
      <c r="CB100" s="73">
        <f t="shared" si="494"/>
        <v>0</v>
      </c>
      <c r="CC100" s="73">
        <f t="shared" si="494"/>
        <v>231017.4281</v>
      </c>
      <c r="CD100" s="73">
        <f t="shared" si="494"/>
        <v>132462</v>
      </c>
      <c r="CE100" s="73">
        <f t="shared" si="494"/>
        <v>0</v>
      </c>
      <c r="CF100" s="73">
        <f t="shared" si="494"/>
        <v>132462</v>
      </c>
      <c r="CG100" s="73">
        <f t="shared" si="494"/>
        <v>371621.2906</v>
      </c>
      <c r="CH100" s="73">
        <f t="shared" si="494"/>
        <v>0</v>
      </c>
      <c r="CI100" s="73">
        <f t="shared" si="494"/>
        <v>371621.2906</v>
      </c>
      <c r="CJ100" s="73">
        <f t="shared" si="494"/>
        <v>214419</v>
      </c>
      <c r="CK100" s="73">
        <f t="shared" si="494"/>
        <v>0</v>
      </c>
      <c r="CL100" s="73">
        <f t="shared" si="494"/>
        <v>214419</v>
      </c>
      <c r="CM100" s="73">
        <f t="shared" si="494"/>
        <v>602638.7187</v>
      </c>
      <c r="CN100" s="73">
        <f t="shared" si="494"/>
        <v>0</v>
      </c>
      <c r="CO100" s="73">
        <f t="shared" si="494"/>
        <v>602638.7187</v>
      </c>
      <c r="CP100" s="73">
        <f t="shared" si="494"/>
        <v>346881</v>
      </c>
      <c r="CQ100" s="73">
        <f t="shared" si="494"/>
        <v>0</v>
      </c>
      <c r="CR100" s="73">
        <f t="shared" si="494"/>
        <v>346881</v>
      </c>
      <c r="CS100" s="73">
        <f t="shared" si="494"/>
        <v>974260.0094</v>
      </c>
      <c r="CT100" s="73">
        <f t="shared" si="494"/>
        <v>0</v>
      </c>
      <c r="CU100" s="73">
        <f t="shared" si="494"/>
        <v>974260.0094</v>
      </c>
      <c r="CV100" s="73">
        <f t="shared" si="494"/>
        <v>561300</v>
      </c>
      <c r="CW100" s="73">
        <f t="shared" si="494"/>
        <v>0</v>
      </c>
      <c r="CX100" s="73">
        <f t="shared" si="494"/>
        <v>561300</v>
      </c>
      <c r="CY100" s="73">
        <f t="shared" si="494"/>
        <v>1576898.728</v>
      </c>
      <c r="CZ100" s="73">
        <f t="shared" si="494"/>
        <v>0</v>
      </c>
      <c r="DA100" s="73">
        <f t="shared" si="494"/>
        <v>1576898.728</v>
      </c>
      <c r="DB100" s="73">
        <f t="shared" si="494"/>
        <v>908181</v>
      </c>
      <c r="DC100" s="73">
        <f t="shared" si="494"/>
        <v>0</v>
      </c>
      <c r="DD100" s="73">
        <f t="shared" si="494"/>
        <v>908181</v>
      </c>
      <c r="DE100" s="73">
        <f t="shared" si="494"/>
        <v>2551158.737</v>
      </c>
      <c r="DF100" s="73">
        <f t="shared" si="494"/>
        <v>0</v>
      </c>
      <c r="DG100" s="73">
        <f t="shared" si="494"/>
        <v>2551158.737</v>
      </c>
      <c r="DH100" s="73">
        <f t="shared" si="494"/>
        <v>1469481</v>
      </c>
      <c r="DI100" s="73">
        <f t="shared" si="494"/>
        <v>0</v>
      </c>
      <c r="DJ100" s="73">
        <f t="shared" si="494"/>
        <v>1469481</v>
      </c>
      <c r="DK100" s="73">
        <f t="shared" si="494"/>
        <v>4128057.465</v>
      </c>
      <c r="DL100" s="73">
        <f t="shared" si="494"/>
        <v>0</v>
      </c>
      <c r="DM100" s="73">
        <f t="shared" si="494"/>
        <v>4128057.465</v>
      </c>
      <c r="DN100" s="73">
        <f t="shared" si="494"/>
        <v>2377662</v>
      </c>
      <c r="DO100" s="73">
        <f t="shared" si="494"/>
        <v>0</v>
      </c>
      <c r="DP100" s="73">
        <f t="shared" si="494"/>
        <v>2377662</v>
      </c>
      <c r="DQ100" s="73">
        <f t="shared" si="494"/>
        <v>6679216.203</v>
      </c>
      <c r="DR100" s="73">
        <f t="shared" si="494"/>
        <v>0</v>
      </c>
      <c r="DS100" s="73">
        <f t="shared" si="494"/>
        <v>6679216.203</v>
      </c>
      <c r="DT100" s="73">
        <f t="shared" si="494"/>
        <v>3847143</v>
      </c>
      <c r="DU100" s="73">
        <f t="shared" si="494"/>
        <v>0</v>
      </c>
      <c r="DV100" s="73">
        <f t="shared" si="494"/>
        <v>3847143</v>
      </c>
      <c r="DW100" s="73">
        <f t="shared" si="494"/>
        <v>10807273.67</v>
      </c>
      <c r="DX100" s="73">
        <f t="shared" si="494"/>
        <v>0</v>
      </c>
      <c r="DY100" s="73">
        <f t="shared" si="494"/>
        <v>10807273.67</v>
      </c>
      <c r="DZ100" s="73"/>
      <c r="EA100" s="76"/>
    </row>
    <row r="101" ht="21.75" customHeight="1">
      <c r="A101" s="64"/>
      <c r="B101" s="70"/>
      <c r="C101" s="71"/>
      <c r="D101" s="71"/>
      <c r="E101" s="71"/>
      <c r="F101" s="78" t="s">
        <v>46</v>
      </c>
      <c r="G101" s="73"/>
      <c r="H101" s="73"/>
      <c r="I101" s="73"/>
      <c r="J101" s="73"/>
      <c r="K101" s="73"/>
      <c r="L101" s="73"/>
      <c r="M101" s="79">
        <f>M102</f>
        <v>0</v>
      </c>
      <c r="N101" s="79">
        <v>0.0</v>
      </c>
      <c r="O101" s="79">
        <v>0.0</v>
      </c>
      <c r="P101" s="79"/>
      <c r="Q101" s="79"/>
      <c r="R101" s="79"/>
      <c r="S101" s="79">
        <f t="shared" ref="S101:U101" si="495">S102</f>
        <v>1115.46783</v>
      </c>
      <c r="T101" s="79">
        <f t="shared" si="495"/>
        <v>0</v>
      </c>
      <c r="U101" s="79">
        <f t="shared" si="495"/>
        <v>1115.46783</v>
      </c>
      <c r="V101" s="79"/>
      <c r="W101" s="79"/>
      <c r="X101" s="79"/>
      <c r="Y101" s="93">
        <f>Y102</f>
        <v>0</v>
      </c>
      <c r="Z101" s="93">
        <v>0.0</v>
      </c>
      <c r="AA101" s="93">
        <v>0.0</v>
      </c>
      <c r="AB101" s="79"/>
      <c r="AC101" s="79"/>
      <c r="AD101" s="79"/>
      <c r="AE101" s="79">
        <f t="shared" ref="AE101:AG101" si="496">M101+S101+Y101</f>
        <v>1115.46783</v>
      </c>
      <c r="AF101" s="79">
        <f t="shared" si="496"/>
        <v>0</v>
      </c>
      <c r="AG101" s="79">
        <f t="shared" si="496"/>
        <v>1115.46783</v>
      </c>
      <c r="AH101" s="73"/>
      <c r="AI101" s="73"/>
      <c r="AJ101" s="73"/>
      <c r="AK101" s="79">
        <f>AK102</f>
        <v>0</v>
      </c>
      <c r="AL101" s="79">
        <v>0.0</v>
      </c>
      <c r="AM101" s="79">
        <v>0.0</v>
      </c>
      <c r="AN101" s="73"/>
      <c r="AO101" s="73"/>
      <c r="AP101" s="73"/>
      <c r="AQ101" s="79">
        <f t="shared" ref="AQ101:AS101" si="497">AE101+AK101</f>
        <v>1115.46783</v>
      </c>
      <c r="AR101" s="79">
        <f t="shared" si="497"/>
        <v>0</v>
      </c>
      <c r="AS101" s="79">
        <f t="shared" si="497"/>
        <v>1115.46783</v>
      </c>
      <c r="AT101" s="73"/>
      <c r="AU101" s="73"/>
      <c r="AV101" s="73"/>
      <c r="AW101" s="79">
        <v>0.0</v>
      </c>
      <c r="AX101" s="79">
        <v>0.0</v>
      </c>
      <c r="AY101" s="79">
        <v>0.0</v>
      </c>
      <c r="AZ101" s="73"/>
      <c r="BA101" s="73"/>
      <c r="BB101" s="73"/>
      <c r="BC101" s="79">
        <f t="shared" ref="BC101:BE101" si="498">AQ101+AW101</f>
        <v>1115.46783</v>
      </c>
      <c r="BD101" s="79">
        <f t="shared" si="498"/>
        <v>0</v>
      </c>
      <c r="BE101" s="79">
        <f t="shared" si="498"/>
        <v>1115.46783</v>
      </c>
      <c r="BF101" s="73"/>
      <c r="BG101" s="73"/>
      <c r="BH101" s="73"/>
      <c r="BI101" s="73"/>
      <c r="BJ101" s="73"/>
      <c r="BK101" s="73"/>
      <c r="BL101" s="73"/>
      <c r="BM101" s="73"/>
      <c r="BN101" s="73"/>
      <c r="BO101" s="73"/>
      <c r="BP101" s="73"/>
      <c r="BQ101" s="73"/>
      <c r="BR101" s="73"/>
      <c r="BS101" s="73"/>
      <c r="BT101" s="73"/>
      <c r="BU101" s="73"/>
      <c r="BV101" s="73"/>
      <c r="BW101" s="73"/>
      <c r="BX101" s="73"/>
      <c r="BY101" s="73"/>
      <c r="BZ101" s="73"/>
      <c r="CA101" s="73"/>
      <c r="CB101" s="73"/>
      <c r="CC101" s="73"/>
      <c r="CD101" s="73"/>
      <c r="CE101" s="73"/>
      <c r="CF101" s="73"/>
      <c r="CG101" s="73"/>
      <c r="CH101" s="73"/>
      <c r="CI101" s="73"/>
      <c r="CJ101" s="73"/>
      <c r="CK101" s="73"/>
      <c r="CL101" s="73"/>
      <c r="CM101" s="73"/>
      <c r="CN101" s="73"/>
      <c r="CO101" s="73"/>
      <c r="CP101" s="73"/>
      <c r="CQ101" s="73"/>
      <c r="CR101" s="73"/>
      <c r="CS101" s="73"/>
      <c r="CT101" s="73"/>
      <c r="CU101" s="73"/>
      <c r="CV101" s="73"/>
      <c r="CW101" s="73"/>
      <c r="CX101" s="73"/>
      <c r="CY101" s="73"/>
      <c r="CZ101" s="73"/>
      <c r="DA101" s="73"/>
      <c r="DB101" s="73"/>
      <c r="DC101" s="73"/>
      <c r="DD101" s="73"/>
      <c r="DE101" s="73"/>
      <c r="DF101" s="73"/>
      <c r="DG101" s="73"/>
      <c r="DH101" s="73"/>
      <c r="DI101" s="73"/>
      <c r="DJ101" s="73"/>
      <c r="DK101" s="73"/>
      <c r="DL101" s="73"/>
      <c r="DM101" s="73"/>
      <c r="DN101" s="73"/>
      <c r="DO101" s="73"/>
      <c r="DP101" s="73"/>
      <c r="DQ101" s="73"/>
      <c r="DR101" s="73"/>
      <c r="DS101" s="73"/>
      <c r="DT101" s="73"/>
      <c r="DU101" s="74"/>
      <c r="DV101" s="74"/>
      <c r="DW101" s="74"/>
      <c r="DX101" s="74"/>
      <c r="DY101" s="74"/>
      <c r="DZ101" s="74"/>
      <c r="EA101" s="82"/>
    </row>
    <row r="102" ht="21.75" customHeight="1">
      <c r="A102" s="64"/>
      <c r="B102" s="70"/>
      <c r="C102" s="71"/>
      <c r="D102" s="71"/>
      <c r="E102" s="71"/>
      <c r="F102" s="81" t="s">
        <v>47</v>
      </c>
      <c r="G102" s="73"/>
      <c r="H102" s="73"/>
      <c r="I102" s="73"/>
      <c r="J102" s="73"/>
      <c r="K102" s="73"/>
      <c r="L102" s="73"/>
      <c r="M102" s="73">
        <f>N102+O102</f>
        <v>0</v>
      </c>
      <c r="N102" s="73">
        <v>0.0</v>
      </c>
      <c r="O102" s="73">
        <v>0.0</v>
      </c>
      <c r="P102" s="73"/>
      <c r="Q102" s="73"/>
      <c r="R102" s="73"/>
      <c r="S102" s="73">
        <f>T102+U102</f>
        <v>1115.46783</v>
      </c>
      <c r="T102" s="73">
        <v>0.0</v>
      </c>
      <c r="U102" s="73">
        <v>1115.46783</v>
      </c>
      <c r="V102" s="73"/>
      <c r="W102" s="73"/>
      <c r="X102" s="73"/>
      <c r="Y102" s="94">
        <v>0.0</v>
      </c>
      <c r="Z102" s="94">
        <v>0.0</v>
      </c>
      <c r="AA102" s="94">
        <v>0.0</v>
      </c>
      <c r="AB102" s="73"/>
      <c r="AC102" s="73"/>
      <c r="AD102" s="73"/>
      <c r="AE102" s="73">
        <f t="shared" ref="AE102:AG102" si="499">M102+S102+Y102</f>
        <v>1115.46783</v>
      </c>
      <c r="AF102" s="73">
        <f t="shared" si="499"/>
        <v>0</v>
      </c>
      <c r="AG102" s="73">
        <f t="shared" si="499"/>
        <v>1115.46783</v>
      </c>
      <c r="AH102" s="73"/>
      <c r="AI102" s="73"/>
      <c r="AJ102" s="73"/>
      <c r="AK102" s="73">
        <v>0.0</v>
      </c>
      <c r="AL102" s="73">
        <v>0.0</v>
      </c>
      <c r="AM102" s="73">
        <v>0.0</v>
      </c>
      <c r="AN102" s="73"/>
      <c r="AO102" s="73"/>
      <c r="AP102" s="73"/>
      <c r="AQ102" s="73">
        <f t="shared" ref="AQ102:AS102" si="500">AE102+AK102</f>
        <v>1115.46783</v>
      </c>
      <c r="AR102" s="73">
        <f t="shared" si="500"/>
        <v>0</v>
      </c>
      <c r="AS102" s="73">
        <f t="shared" si="500"/>
        <v>1115.46783</v>
      </c>
      <c r="AT102" s="73"/>
      <c r="AU102" s="73"/>
      <c r="AV102" s="73"/>
      <c r="AW102" s="73">
        <v>0.0</v>
      </c>
      <c r="AX102" s="73">
        <v>0.0</v>
      </c>
      <c r="AY102" s="73">
        <v>0.0</v>
      </c>
      <c r="AZ102" s="73"/>
      <c r="BA102" s="73"/>
      <c r="BB102" s="73"/>
      <c r="BC102" s="73">
        <f t="shared" ref="BC102:BE102" si="501">AQ102+AW102</f>
        <v>1115.46783</v>
      </c>
      <c r="BD102" s="73">
        <f t="shared" si="501"/>
        <v>0</v>
      </c>
      <c r="BE102" s="73">
        <f t="shared" si="501"/>
        <v>1115.46783</v>
      </c>
      <c r="BF102" s="73"/>
      <c r="BG102" s="73"/>
      <c r="BH102" s="73"/>
      <c r="BI102" s="73"/>
      <c r="BJ102" s="73"/>
      <c r="BK102" s="73"/>
      <c r="BL102" s="73"/>
      <c r="BM102" s="73"/>
      <c r="BN102" s="73"/>
      <c r="BO102" s="73"/>
      <c r="BP102" s="73"/>
      <c r="BQ102" s="73"/>
      <c r="BR102" s="73"/>
      <c r="BS102" s="73"/>
      <c r="BT102" s="73"/>
      <c r="BU102" s="73"/>
      <c r="BV102" s="73"/>
      <c r="BW102" s="73"/>
      <c r="BX102" s="73"/>
      <c r="BY102" s="73"/>
      <c r="BZ102" s="73"/>
      <c r="CA102" s="73"/>
      <c r="CB102" s="73"/>
      <c r="CC102" s="73"/>
      <c r="CD102" s="73"/>
      <c r="CE102" s="73"/>
      <c r="CF102" s="73"/>
      <c r="CG102" s="73"/>
      <c r="CH102" s="73"/>
      <c r="CI102" s="73"/>
      <c r="CJ102" s="73"/>
      <c r="CK102" s="73"/>
      <c r="CL102" s="73"/>
      <c r="CM102" s="73"/>
      <c r="CN102" s="73"/>
      <c r="CO102" s="73"/>
      <c r="CP102" s="73"/>
      <c r="CQ102" s="73"/>
      <c r="CR102" s="73"/>
      <c r="CS102" s="73"/>
      <c r="CT102" s="73"/>
      <c r="CU102" s="73"/>
      <c r="CV102" s="73"/>
      <c r="CW102" s="73"/>
      <c r="CX102" s="73"/>
      <c r="CY102" s="73"/>
      <c r="CZ102" s="73"/>
      <c r="DA102" s="73"/>
      <c r="DB102" s="73"/>
      <c r="DC102" s="73"/>
      <c r="DD102" s="73"/>
      <c r="DE102" s="73"/>
      <c r="DF102" s="73"/>
      <c r="DG102" s="73"/>
      <c r="DH102" s="73"/>
      <c r="DI102" s="73"/>
      <c r="DJ102" s="73"/>
      <c r="DK102" s="73"/>
      <c r="DL102" s="73"/>
      <c r="DM102" s="73"/>
      <c r="DN102" s="73"/>
      <c r="DO102" s="73"/>
      <c r="DP102" s="73"/>
      <c r="DQ102" s="73"/>
      <c r="DR102" s="73"/>
      <c r="DS102" s="73"/>
      <c r="DT102" s="73"/>
      <c r="DU102" s="74"/>
      <c r="DV102" s="74"/>
      <c r="DW102" s="74"/>
      <c r="DX102" s="74"/>
      <c r="DY102" s="74"/>
      <c r="DZ102" s="74"/>
      <c r="EA102" s="82"/>
    </row>
    <row r="103" ht="21.75" customHeight="1">
      <c r="A103" s="64"/>
      <c r="B103" s="70"/>
      <c r="C103" s="71"/>
      <c r="D103" s="71"/>
      <c r="E103" s="71"/>
      <c r="F103" s="78" t="s">
        <v>48</v>
      </c>
      <c r="G103" s="73"/>
      <c r="H103" s="73"/>
      <c r="I103" s="73"/>
      <c r="J103" s="73"/>
      <c r="K103" s="73"/>
      <c r="L103" s="73"/>
      <c r="M103" s="79">
        <f>M104+M105</f>
        <v>3247.97866</v>
      </c>
      <c r="N103" s="79">
        <v>0.0</v>
      </c>
      <c r="O103" s="79">
        <v>3247.97866</v>
      </c>
      <c r="P103" s="79"/>
      <c r="Q103" s="79"/>
      <c r="R103" s="79"/>
      <c r="S103" s="79">
        <f t="shared" ref="S103:U103" si="502">S104+S105</f>
        <v>8788.89068</v>
      </c>
      <c r="T103" s="79">
        <f t="shared" si="502"/>
        <v>0</v>
      </c>
      <c r="U103" s="79">
        <f t="shared" si="502"/>
        <v>8788.89068</v>
      </c>
      <c r="V103" s="79"/>
      <c r="W103" s="79"/>
      <c r="X103" s="79"/>
      <c r="Y103" s="93">
        <f t="shared" ref="Y103:AA103" si="503">Y104+Y105</f>
        <v>5882.91557</v>
      </c>
      <c r="Z103" s="93">
        <f t="shared" si="503"/>
        <v>0</v>
      </c>
      <c r="AA103" s="93">
        <f t="shared" si="503"/>
        <v>5882.91557</v>
      </c>
      <c r="AB103" s="79"/>
      <c r="AC103" s="79"/>
      <c r="AD103" s="79"/>
      <c r="AE103" s="79">
        <f t="shared" ref="AE103:AG103" si="504">M103+S103+Y103</f>
        <v>17919.78491</v>
      </c>
      <c r="AF103" s="79">
        <f t="shared" si="504"/>
        <v>0</v>
      </c>
      <c r="AG103" s="79">
        <f t="shared" si="504"/>
        <v>17919.78491</v>
      </c>
      <c r="AH103" s="73"/>
      <c r="AI103" s="73"/>
      <c r="AJ103" s="73"/>
      <c r="AK103" s="79">
        <f t="shared" ref="AK103:AM103" si="505">AK104+AK105</f>
        <v>4995.61739</v>
      </c>
      <c r="AL103" s="79">
        <f t="shared" si="505"/>
        <v>0</v>
      </c>
      <c r="AM103" s="79">
        <f t="shared" si="505"/>
        <v>4995.61739</v>
      </c>
      <c r="AN103" s="73"/>
      <c r="AO103" s="73"/>
      <c r="AP103" s="73"/>
      <c r="AQ103" s="79">
        <f t="shared" ref="AQ103:AS103" si="506">AE103+AK103</f>
        <v>22915.4023</v>
      </c>
      <c r="AR103" s="79">
        <f t="shared" si="506"/>
        <v>0</v>
      </c>
      <c r="AS103" s="79">
        <f t="shared" si="506"/>
        <v>22915.4023</v>
      </c>
      <c r="AT103" s="73"/>
      <c r="AU103" s="73"/>
      <c r="AV103" s="73"/>
      <c r="AW103" s="79">
        <f t="shared" ref="AW103:AY103" si="507">AW104+AW105</f>
        <v>2232.1101</v>
      </c>
      <c r="AX103" s="79">
        <f t="shared" si="507"/>
        <v>0</v>
      </c>
      <c r="AY103" s="79">
        <f t="shared" si="507"/>
        <v>2232.1101</v>
      </c>
      <c r="AZ103" s="73"/>
      <c r="BA103" s="73"/>
      <c r="BB103" s="73"/>
      <c r="BC103" s="79">
        <f t="shared" ref="BC103:BE103" si="508">AQ103+AW103</f>
        <v>25147.5124</v>
      </c>
      <c r="BD103" s="79">
        <f t="shared" si="508"/>
        <v>0</v>
      </c>
      <c r="BE103" s="79">
        <f t="shared" si="508"/>
        <v>25147.5124</v>
      </c>
      <c r="BF103" s="73"/>
      <c r="BG103" s="73"/>
      <c r="BH103" s="73"/>
      <c r="BI103" s="73"/>
      <c r="BJ103" s="73"/>
      <c r="BK103" s="73"/>
      <c r="BL103" s="73"/>
      <c r="BM103" s="73"/>
      <c r="BN103" s="73"/>
      <c r="BO103" s="73"/>
      <c r="BP103" s="73"/>
      <c r="BQ103" s="73"/>
      <c r="BR103" s="73"/>
      <c r="BS103" s="73"/>
      <c r="BT103" s="73"/>
      <c r="BU103" s="73"/>
      <c r="BV103" s="73"/>
      <c r="BW103" s="73"/>
      <c r="BX103" s="73"/>
      <c r="BY103" s="73"/>
      <c r="BZ103" s="73"/>
      <c r="CA103" s="73"/>
      <c r="CB103" s="73"/>
      <c r="CC103" s="73"/>
      <c r="CD103" s="73"/>
      <c r="CE103" s="73"/>
      <c r="CF103" s="73"/>
      <c r="CG103" s="73"/>
      <c r="CH103" s="73"/>
      <c r="CI103" s="73"/>
      <c r="CJ103" s="73"/>
      <c r="CK103" s="73"/>
      <c r="CL103" s="73"/>
      <c r="CM103" s="73"/>
      <c r="CN103" s="73"/>
      <c r="CO103" s="73"/>
      <c r="CP103" s="73"/>
      <c r="CQ103" s="73"/>
      <c r="CR103" s="73"/>
      <c r="CS103" s="73"/>
      <c r="CT103" s="73"/>
      <c r="CU103" s="73"/>
      <c r="CV103" s="73"/>
      <c r="CW103" s="73"/>
      <c r="CX103" s="73"/>
      <c r="CY103" s="73"/>
      <c r="CZ103" s="73"/>
      <c r="DA103" s="73"/>
      <c r="DB103" s="73"/>
      <c r="DC103" s="73"/>
      <c r="DD103" s="73"/>
      <c r="DE103" s="73"/>
      <c r="DF103" s="73"/>
      <c r="DG103" s="73"/>
      <c r="DH103" s="73"/>
      <c r="DI103" s="73"/>
      <c r="DJ103" s="73"/>
      <c r="DK103" s="73"/>
      <c r="DL103" s="73"/>
      <c r="DM103" s="73"/>
      <c r="DN103" s="73"/>
      <c r="DO103" s="73"/>
      <c r="DP103" s="73"/>
      <c r="DQ103" s="73"/>
      <c r="DR103" s="73"/>
      <c r="DS103" s="73"/>
      <c r="DT103" s="73"/>
      <c r="DU103" s="74"/>
      <c r="DV103" s="74"/>
      <c r="DW103" s="74"/>
      <c r="DX103" s="74"/>
      <c r="DY103" s="74"/>
      <c r="DZ103" s="74"/>
      <c r="EA103" s="82"/>
    </row>
    <row r="104" ht="21.75" customHeight="1">
      <c r="A104" s="64"/>
      <c r="B104" s="70"/>
      <c r="C104" s="71"/>
      <c r="D104" s="71"/>
      <c r="E104" s="71"/>
      <c r="F104" s="81" t="s">
        <v>47</v>
      </c>
      <c r="G104" s="73"/>
      <c r="H104" s="73"/>
      <c r="I104" s="73"/>
      <c r="J104" s="73"/>
      <c r="K104" s="73"/>
      <c r="L104" s="73"/>
      <c r="M104" s="73">
        <f>N104+O104</f>
        <v>3247.97866</v>
      </c>
      <c r="N104" s="73">
        <v>0.0</v>
      </c>
      <c r="O104" s="73">
        <v>3247.97866</v>
      </c>
      <c r="P104" s="73"/>
      <c r="Q104" s="73"/>
      <c r="R104" s="73"/>
      <c r="S104" s="73">
        <f>T104+U104</f>
        <v>8788.89068</v>
      </c>
      <c r="T104" s="73">
        <v>0.0</v>
      </c>
      <c r="U104" s="73">
        <v>8788.89068</v>
      </c>
      <c r="V104" s="73"/>
      <c r="W104" s="73"/>
      <c r="X104" s="73"/>
      <c r="Y104" s="94">
        <v>5890.07075</v>
      </c>
      <c r="Z104" s="94">
        <v>0.0</v>
      </c>
      <c r="AA104" s="94">
        <v>5890.07075</v>
      </c>
      <c r="AB104" s="73"/>
      <c r="AC104" s="73"/>
      <c r="AD104" s="73"/>
      <c r="AE104" s="73">
        <f t="shared" ref="AE104:AG104" si="509">M104+S104+Y104</f>
        <v>17926.94009</v>
      </c>
      <c r="AF104" s="73">
        <f t="shared" si="509"/>
        <v>0</v>
      </c>
      <c r="AG104" s="73">
        <f t="shared" si="509"/>
        <v>17926.94009</v>
      </c>
      <c r="AH104" s="73"/>
      <c r="AI104" s="73"/>
      <c r="AJ104" s="73"/>
      <c r="AK104" s="73">
        <f>AL104+AM104</f>
        <v>4995.61739</v>
      </c>
      <c r="AL104" s="73">
        <v>0.0</v>
      </c>
      <c r="AM104" s="73">
        <f>2740.71508+2254.90231</f>
        <v>4995.61739</v>
      </c>
      <c r="AN104" s="73"/>
      <c r="AO104" s="73"/>
      <c r="AP104" s="73"/>
      <c r="AQ104" s="73">
        <f t="shared" ref="AQ104:AS104" si="510">AE104+AK104</f>
        <v>22922.55748</v>
      </c>
      <c r="AR104" s="73">
        <f t="shared" si="510"/>
        <v>0</v>
      </c>
      <c r="AS104" s="73">
        <f t="shared" si="510"/>
        <v>22922.55748</v>
      </c>
      <c r="AT104" s="73"/>
      <c r="AU104" s="73"/>
      <c r="AV104" s="73"/>
      <c r="AW104" s="73">
        <f t="shared" ref="AW104:AW105" si="514">AX104+AY104</f>
        <v>2433.55352</v>
      </c>
      <c r="AX104" s="73"/>
      <c r="AY104" s="73">
        <f>1040.48883+1393.06469</f>
        <v>2433.55352</v>
      </c>
      <c r="AZ104" s="73"/>
      <c r="BA104" s="73"/>
      <c r="BB104" s="73"/>
      <c r="BC104" s="73">
        <f t="shared" ref="BC104:BE104" si="511">AQ104+AW104</f>
        <v>25356.111</v>
      </c>
      <c r="BD104" s="73">
        <f t="shared" si="511"/>
        <v>0</v>
      </c>
      <c r="BE104" s="73">
        <f t="shared" si="511"/>
        <v>25356.111</v>
      </c>
      <c r="BF104" s="73"/>
      <c r="BG104" s="73"/>
      <c r="BH104" s="73"/>
      <c r="BI104" s="73"/>
      <c r="BJ104" s="73"/>
      <c r="BK104" s="73"/>
      <c r="BL104" s="73"/>
      <c r="BM104" s="73"/>
      <c r="BN104" s="73"/>
      <c r="BO104" s="73"/>
      <c r="BP104" s="73"/>
      <c r="BQ104" s="73"/>
      <c r="BR104" s="73"/>
      <c r="BS104" s="73"/>
      <c r="BT104" s="73"/>
      <c r="BU104" s="73"/>
      <c r="BV104" s="73"/>
      <c r="BW104" s="73"/>
      <c r="BX104" s="73"/>
      <c r="BY104" s="73"/>
      <c r="BZ104" s="73"/>
      <c r="CA104" s="73"/>
      <c r="CB104" s="73"/>
      <c r="CC104" s="73"/>
      <c r="CD104" s="73"/>
      <c r="CE104" s="73"/>
      <c r="CF104" s="73"/>
      <c r="CG104" s="73"/>
      <c r="CH104" s="73"/>
      <c r="CI104" s="73"/>
      <c r="CJ104" s="73"/>
      <c r="CK104" s="73"/>
      <c r="CL104" s="73"/>
      <c r="CM104" s="73"/>
      <c r="CN104" s="73"/>
      <c r="CO104" s="73"/>
      <c r="CP104" s="73"/>
      <c r="CQ104" s="73"/>
      <c r="CR104" s="73"/>
      <c r="CS104" s="73"/>
      <c r="CT104" s="73"/>
      <c r="CU104" s="73"/>
      <c r="CV104" s="73"/>
      <c r="CW104" s="73"/>
      <c r="CX104" s="73"/>
      <c r="CY104" s="73"/>
      <c r="CZ104" s="73"/>
      <c r="DA104" s="73"/>
      <c r="DB104" s="73"/>
      <c r="DC104" s="73"/>
      <c r="DD104" s="73"/>
      <c r="DE104" s="73"/>
      <c r="DF104" s="73"/>
      <c r="DG104" s="73"/>
      <c r="DH104" s="73"/>
      <c r="DI104" s="73"/>
      <c r="DJ104" s="73"/>
      <c r="DK104" s="73"/>
      <c r="DL104" s="73"/>
      <c r="DM104" s="73"/>
      <c r="DN104" s="73"/>
      <c r="DO104" s="73"/>
      <c r="DP104" s="73"/>
      <c r="DQ104" s="73"/>
      <c r="DR104" s="73"/>
      <c r="DS104" s="73"/>
      <c r="DT104" s="73"/>
      <c r="DU104" s="74"/>
      <c r="DV104" s="74"/>
      <c r="DW104" s="74"/>
      <c r="DX104" s="74"/>
      <c r="DY104" s="74"/>
      <c r="DZ104" s="74"/>
      <c r="EA104" s="82" t="s">
        <v>104</v>
      </c>
    </row>
    <row r="105" ht="21.75" customHeight="1">
      <c r="A105" s="64"/>
      <c r="B105" s="70"/>
      <c r="C105" s="71"/>
      <c r="D105" s="71"/>
      <c r="E105" s="71"/>
      <c r="F105" s="81" t="s">
        <v>50</v>
      </c>
      <c r="G105" s="73"/>
      <c r="H105" s="73"/>
      <c r="I105" s="73"/>
      <c r="J105" s="73"/>
      <c r="K105" s="73"/>
      <c r="L105" s="73"/>
      <c r="M105" s="73">
        <v>0.0</v>
      </c>
      <c r="N105" s="73">
        <v>0.0</v>
      </c>
      <c r="O105" s="73">
        <v>0.0</v>
      </c>
      <c r="P105" s="73"/>
      <c r="Q105" s="73"/>
      <c r="R105" s="73"/>
      <c r="S105" s="73">
        <v>0.0</v>
      </c>
      <c r="T105" s="73">
        <v>0.0</v>
      </c>
      <c r="U105" s="73">
        <v>0.0</v>
      </c>
      <c r="V105" s="73"/>
      <c r="W105" s="73"/>
      <c r="X105" s="73"/>
      <c r="Y105" s="94">
        <v>-7.155179999999746</v>
      </c>
      <c r="Z105" s="94">
        <v>0.0</v>
      </c>
      <c r="AA105" s="94">
        <v>-7.155179999999746</v>
      </c>
      <c r="AB105" s="73"/>
      <c r="AC105" s="73"/>
      <c r="AD105" s="73"/>
      <c r="AE105" s="73">
        <f t="shared" ref="AE105:AG105" si="512">M105+S105+Y105</f>
        <v>-7.15518</v>
      </c>
      <c r="AF105" s="73">
        <f t="shared" si="512"/>
        <v>0</v>
      </c>
      <c r="AG105" s="73">
        <f t="shared" si="512"/>
        <v>-7.15518</v>
      </c>
      <c r="AH105" s="73"/>
      <c r="AI105" s="73"/>
      <c r="AJ105" s="73"/>
      <c r="AK105" s="73">
        <v>0.0</v>
      </c>
      <c r="AL105" s="73">
        <v>0.0</v>
      </c>
      <c r="AM105" s="73">
        <v>0.0</v>
      </c>
      <c r="AN105" s="73"/>
      <c r="AO105" s="73"/>
      <c r="AP105" s="73"/>
      <c r="AQ105" s="73">
        <f t="shared" ref="AQ105:AS105" si="513">AE105+AK105</f>
        <v>-7.15518</v>
      </c>
      <c r="AR105" s="73">
        <f t="shared" si="513"/>
        <v>0</v>
      </c>
      <c r="AS105" s="73">
        <f t="shared" si="513"/>
        <v>-7.15518</v>
      </c>
      <c r="AT105" s="73"/>
      <c r="AU105" s="73"/>
      <c r="AV105" s="73"/>
      <c r="AW105" s="73">
        <f t="shared" si="514"/>
        <v>-201.44342</v>
      </c>
      <c r="AX105" s="73"/>
      <c r="AY105" s="73">
        <v>-201.44342</v>
      </c>
      <c r="AZ105" s="73"/>
      <c r="BA105" s="73"/>
      <c r="BB105" s="73"/>
      <c r="BC105" s="73">
        <f t="shared" ref="BC105:BE105" si="515">AQ105+AW105</f>
        <v>-208.5986</v>
      </c>
      <c r="BD105" s="73">
        <f t="shared" si="515"/>
        <v>0</v>
      </c>
      <c r="BE105" s="73">
        <f t="shared" si="515"/>
        <v>-208.5986</v>
      </c>
      <c r="BF105" s="73"/>
      <c r="BG105" s="73"/>
      <c r="BH105" s="73"/>
      <c r="BI105" s="73"/>
      <c r="BJ105" s="73"/>
      <c r="BK105" s="73"/>
      <c r="BL105" s="73"/>
      <c r="BM105" s="73"/>
      <c r="BN105" s="73"/>
      <c r="BO105" s="73"/>
      <c r="BP105" s="73"/>
      <c r="BQ105" s="73"/>
      <c r="BR105" s="73"/>
      <c r="BS105" s="73"/>
      <c r="BT105" s="73"/>
      <c r="BU105" s="73"/>
      <c r="BV105" s="73"/>
      <c r="BW105" s="73"/>
      <c r="BX105" s="73"/>
      <c r="BY105" s="73"/>
      <c r="BZ105" s="73"/>
      <c r="CA105" s="73"/>
      <c r="CB105" s="73"/>
      <c r="CC105" s="73"/>
      <c r="CD105" s="73"/>
      <c r="CE105" s="73"/>
      <c r="CF105" s="73"/>
      <c r="CG105" s="73"/>
      <c r="CH105" s="73"/>
      <c r="CI105" s="73"/>
      <c r="CJ105" s="73"/>
      <c r="CK105" s="73"/>
      <c r="CL105" s="73"/>
      <c r="CM105" s="73"/>
      <c r="CN105" s="73"/>
      <c r="CO105" s="73"/>
      <c r="CP105" s="73"/>
      <c r="CQ105" s="73"/>
      <c r="CR105" s="73"/>
      <c r="CS105" s="73"/>
      <c r="CT105" s="73"/>
      <c r="CU105" s="73"/>
      <c r="CV105" s="73"/>
      <c r="CW105" s="73"/>
      <c r="CX105" s="73"/>
      <c r="CY105" s="73"/>
      <c r="CZ105" s="73"/>
      <c r="DA105" s="73"/>
      <c r="DB105" s="73"/>
      <c r="DC105" s="73"/>
      <c r="DD105" s="73"/>
      <c r="DE105" s="73"/>
      <c r="DF105" s="73"/>
      <c r="DG105" s="73"/>
      <c r="DH105" s="73"/>
      <c r="DI105" s="73"/>
      <c r="DJ105" s="73"/>
      <c r="DK105" s="73"/>
      <c r="DL105" s="73"/>
      <c r="DM105" s="73"/>
      <c r="DN105" s="73"/>
      <c r="DO105" s="73"/>
      <c r="DP105" s="73"/>
      <c r="DQ105" s="73"/>
      <c r="DR105" s="73"/>
      <c r="DS105" s="73"/>
      <c r="DT105" s="73"/>
      <c r="DU105" s="74"/>
      <c r="DV105" s="74"/>
      <c r="DW105" s="74"/>
      <c r="DX105" s="74"/>
      <c r="DY105" s="74"/>
      <c r="DZ105" s="74"/>
      <c r="EA105" s="82"/>
    </row>
    <row r="106" ht="21.75" customHeight="1">
      <c r="A106" s="64"/>
      <c r="B106" s="70"/>
      <c r="C106" s="71"/>
      <c r="D106" s="71"/>
      <c r="E106" s="71"/>
      <c r="F106" s="78" t="s">
        <v>51</v>
      </c>
      <c r="G106" s="79"/>
      <c r="H106" s="79"/>
      <c r="I106" s="79"/>
      <c r="J106" s="79"/>
      <c r="K106" s="79"/>
      <c r="L106" s="79"/>
      <c r="M106" s="79">
        <f>M107+M108</f>
        <v>0</v>
      </c>
      <c r="N106" s="79">
        <f t="shared" ref="N106:O106" si="516">N108+N109+N110</f>
        <v>0</v>
      </c>
      <c r="O106" s="79">
        <f t="shared" si="516"/>
        <v>0</v>
      </c>
      <c r="P106" s="79"/>
      <c r="Q106" s="79"/>
      <c r="R106" s="79"/>
      <c r="S106" s="79">
        <f>S107+S108</f>
        <v>0</v>
      </c>
      <c r="T106" s="79">
        <f t="shared" ref="T106:U106" si="517">T108+T109+T110</f>
        <v>0</v>
      </c>
      <c r="U106" s="79">
        <f t="shared" si="517"/>
        <v>0</v>
      </c>
      <c r="V106" s="79"/>
      <c r="W106" s="79"/>
      <c r="X106" s="79"/>
      <c r="Y106" s="79">
        <f>Y107+Y108</f>
        <v>6225.37</v>
      </c>
      <c r="Z106" s="79">
        <f t="shared" ref="Z106:AA106" si="518">Z108+Z109+Z110</f>
        <v>0</v>
      </c>
      <c r="AA106" s="79">
        <f t="shared" si="518"/>
        <v>6225.37</v>
      </c>
      <c r="AB106" s="79"/>
      <c r="AC106" s="79"/>
      <c r="AD106" s="79"/>
      <c r="AE106" s="79">
        <f t="shared" ref="AE106:AG106" si="519">M106+S106+Y106</f>
        <v>6225.37</v>
      </c>
      <c r="AF106" s="79">
        <f t="shared" si="519"/>
        <v>0</v>
      </c>
      <c r="AG106" s="79">
        <f t="shared" si="519"/>
        <v>6225.37</v>
      </c>
      <c r="AH106" s="73"/>
      <c r="AI106" s="73"/>
      <c r="AJ106" s="73"/>
      <c r="AK106" s="79">
        <f>AK107+AK108</f>
        <v>0</v>
      </c>
      <c r="AL106" s="79">
        <f t="shared" ref="AL106:AM106" si="520">AL108+AL109+AL110</f>
        <v>0</v>
      </c>
      <c r="AM106" s="79">
        <f t="shared" si="520"/>
        <v>0</v>
      </c>
      <c r="AN106" s="73"/>
      <c r="AO106" s="73"/>
      <c r="AP106" s="73"/>
      <c r="AQ106" s="79">
        <f t="shared" ref="AQ106:AS106" si="521">AE106+AK106</f>
        <v>6225.37</v>
      </c>
      <c r="AR106" s="79">
        <f t="shared" si="521"/>
        <v>0</v>
      </c>
      <c r="AS106" s="79">
        <f t="shared" si="521"/>
        <v>6225.37</v>
      </c>
      <c r="AT106" s="73"/>
      <c r="AU106" s="73"/>
      <c r="AV106" s="73"/>
      <c r="AW106" s="79">
        <v>0.0</v>
      </c>
      <c r="AX106" s="79">
        <v>0.0</v>
      </c>
      <c r="AY106" s="79">
        <v>0.0</v>
      </c>
      <c r="AZ106" s="73"/>
      <c r="BA106" s="73"/>
      <c r="BB106" s="73"/>
      <c r="BC106" s="79">
        <f t="shared" ref="BC106:BE106" si="522">AQ106+AW106</f>
        <v>6225.37</v>
      </c>
      <c r="BD106" s="79">
        <f t="shared" si="522"/>
        <v>0</v>
      </c>
      <c r="BE106" s="79">
        <f t="shared" si="522"/>
        <v>6225.37</v>
      </c>
      <c r="BF106" s="73"/>
      <c r="BG106" s="73"/>
      <c r="BH106" s="73"/>
      <c r="BI106" s="73"/>
      <c r="BJ106" s="73"/>
      <c r="BK106" s="73"/>
      <c r="BL106" s="73"/>
      <c r="BM106" s="73"/>
      <c r="BN106" s="73"/>
      <c r="BO106" s="73"/>
      <c r="BP106" s="73"/>
      <c r="BQ106" s="73"/>
      <c r="BR106" s="73"/>
      <c r="BS106" s="73"/>
      <c r="BT106" s="73"/>
      <c r="BU106" s="73"/>
      <c r="BV106" s="73"/>
      <c r="BW106" s="73"/>
      <c r="BX106" s="73"/>
      <c r="BY106" s="73"/>
      <c r="BZ106" s="73"/>
      <c r="CA106" s="73"/>
      <c r="CB106" s="73"/>
      <c r="CC106" s="73"/>
      <c r="CD106" s="73"/>
      <c r="CE106" s="73"/>
      <c r="CF106" s="73"/>
      <c r="CG106" s="73"/>
      <c r="CH106" s="73"/>
      <c r="CI106" s="73"/>
      <c r="CJ106" s="73"/>
      <c r="CK106" s="73"/>
      <c r="CL106" s="73"/>
      <c r="CM106" s="73"/>
      <c r="CN106" s="73"/>
      <c r="CO106" s="73"/>
      <c r="CP106" s="73"/>
      <c r="CQ106" s="73"/>
      <c r="CR106" s="73"/>
      <c r="CS106" s="73"/>
      <c r="CT106" s="73"/>
      <c r="CU106" s="73"/>
      <c r="CV106" s="73"/>
      <c r="CW106" s="73"/>
      <c r="CX106" s="73"/>
      <c r="CY106" s="73"/>
      <c r="CZ106" s="73"/>
      <c r="DA106" s="73"/>
      <c r="DB106" s="73"/>
      <c r="DC106" s="73"/>
      <c r="DD106" s="73"/>
      <c r="DE106" s="73"/>
      <c r="DF106" s="73"/>
      <c r="DG106" s="73"/>
      <c r="DH106" s="73"/>
      <c r="DI106" s="73"/>
      <c r="DJ106" s="73"/>
      <c r="DK106" s="73"/>
      <c r="DL106" s="73"/>
      <c r="DM106" s="73"/>
      <c r="DN106" s="73"/>
      <c r="DO106" s="73"/>
      <c r="DP106" s="73"/>
      <c r="DQ106" s="73"/>
      <c r="DR106" s="73"/>
      <c r="DS106" s="73"/>
      <c r="DT106" s="73"/>
      <c r="DU106" s="74"/>
      <c r="DV106" s="74"/>
      <c r="DW106" s="74"/>
      <c r="DX106" s="74"/>
      <c r="DY106" s="74"/>
      <c r="DZ106" s="74"/>
      <c r="EA106" s="76"/>
    </row>
    <row r="107" ht="21.75" customHeight="1">
      <c r="A107" s="64"/>
      <c r="B107" s="70"/>
      <c r="C107" s="71"/>
      <c r="D107" s="71"/>
      <c r="E107" s="71"/>
      <c r="F107" s="81" t="s">
        <v>47</v>
      </c>
      <c r="G107" s="73"/>
      <c r="H107" s="73"/>
      <c r="I107" s="73"/>
      <c r="J107" s="73"/>
      <c r="K107" s="73"/>
      <c r="L107" s="73"/>
      <c r="M107" s="73">
        <v>0.0</v>
      </c>
      <c r="N107" s="73">
        <v>0.0</v>
      </c>
      <c r="O107" s="73">
        <v>0.0</v>
      </c>
      <c r="P107" s="73"/>
      <c r="Q107" s="73"/>
      <c r="R107" s="73"/>
      <c r="S107" s="73">
        <v>0.0</v>
      </c>
      <c r="T107" s="73">
        <v>0.0</v>
      </c>
      <c r="U107" s="73">
        <v>0.0</v>
      </c>
      <c r="V107" s="73"/>
      <c r="W107" s="73"/>
      <c r="X107" s="73"/>
      <c r="Y107" s="73">
        <v>0.0</v>
      </c>
      <c r="Z107" s="73">
        <v>0.0</v>
      </c>
      <c r="AA107" s="73">
        <v>0.0</v>
      </c>
      <c r="AB107" s="73"/>
      <c r="AC107" s="73"/>
      <c r="AD107" s="73"/>
      <c r="AE107" s="73">
        <f t="shared" ref="AE107:AG107" si="523">M107+S107+Y107</f>
        <v>0</v>
      </c>
      <c r="AF107" s="73">
        <f t="shared" si="523"/>
        <v>0</v>
      </c>
      <c r="AG107" s="73">
        <f t="shared" si="523"/>
        <v>0</v>
      </c>
      <c r="AH107" s="73"/>
      <c r="AI107" s="73"/>
      <c r="AJ107" s="73"/>
      <c r="AK107" s="73">
        <v>0.0</v>
      </c>
      <c r="AL107" s="73">
        <v>0.0</v>
      </c>
      <c r="AM107" s="73">
        <v>0.0</v>
      </c>
      <c r="AN107" s="73"/>
      <c r="AO107" s="73"/>
      <c r="AP107" s="73"/>
      <c r="AQ107" s="73">
        <f t="shared" ref="AQ107:AS107" si="524">AE107+AK107</f>
        <v>0</v>
      </c>
      <c r="AR107" s="73">
        <f t="shared" si="524"/>
        <v>0</v>
      </c>
      <c r="AS107" s="73">
        <f t="shared" si="524"/>
        <v>0</v>
      </c>
      <c r="AT107" s="73"/>
      <c r="AU107" s="73"/>
      <c r="AV107" s="73"/>
      <c r="AW107" s="73">
        <v>0.0</v>
      </c>
      <c r="AX107" s="73">
        <v>0.0</v>
      </c>
      <c r="AY107" s="73">
        <v>0.0</v>
      </c>
      <c r="AZ107" s="73"/>
      <c r="BA107" s="73"/>
      <c r="BB107" s="73"/>
      <c r="BC107" s="73">
        <f t="shared" ref="BC107:BE107" si="525">AQ107+AW107</f>
        <v>0</v>
      </c>
      <c r="BD107" s="73">
        <f t="shared" si="525"/>
        <v>0</v>
      </c>
      <c r="BE107" s="73">
        <f t="shared" si="525"/>
        <v>0</v>
      </c>
      <c r="BF107" s="73"/>
      <c r="BG107" s="73"/>
      <c r="BH107" s="73"/>
      <c r="BI107" s="73"/>
      <c r="BJ107" s="73"/>
      <c r="BK107" s="73"/>
      <c r="BL107" s="73"/>
      <c r="BM107" s="73"/>
      <c r="BN107" s="73"/>
      <c r="BO107" s="73"/>
      <c r="BP107" s="73"/>
      <c r="BQ107" s="73"/>
      <c r="BR107" s="73"/>
      <c r="BS107" s="73"/>
      <c r="BT107" s="73"/>
      <c r="BU107" s="73"/>
      <c r="BV107" s="73"/>
      <c r="BW107" s="73"/>
      <c r="BX107" s="73"/>
      <c r="BY107" s="73"/>
      <c r="BZ107" s="73"/>
      <c r="CA107" s="73"/>
      <c r="CB107" s="73"/>
      <c r="CC107" s="73"/>
      <c r="CD107" s="73"/>
      <c r="CE107" s="73"/>
      <c r="CF107" s="73"/>
      <c r="CG107" s="73"/>
      <c r="CH107" s="73"/>
      <c r="CI107" s="73"/>
      <c r="CJ107" s="73"/>
      <c r="CK107" s="73"/>
      <c r="CL107" s="73"/>
      <c r="CM107" s="73"/>
      <c r="CN107" s="73"/>
      <c r="CO107" s="73"/>
      <c r="CP107" s="73"/>
      <c r="CQ107" s="73"/>
      <c r="CR107" s="73"/>
      <c r="CS107" s="73"/>
      <c r="CT107" s="73"/>
      <c r="CU107" s="73"/>
      <c r="CV107" s="73"/>
      <c r="CW107" s="73"/>
      <c r="CX107" s="73"/>
      <c r="CY107" s="73"/>
      <c r="CZ107" s="73"/>
      <c r="DA107" s="73"/>
      <c r="DB107" s="73"/>
      <c r="DC107" s="73"/>
      <c r="DD107" s="73"/>
      <c r="DE107" s="73"/>
      <c r="DF107" s="73"/>
      <c r="DG107" s="73"/>
      <c r="DH107" s="73"/>
      <c r="DI107" s="73"/>
      <c r="DJ107" s="73"/>
      <c r="DK107" s="73"/>
      <c r="DL107" s="73"/>
      <c r="DM107" s="73"/>
      <c r="DN107" s="73"/>
      <c r="DO107" s="73"/>
      <c r="DP107" s="73"/>
      <c r="DQ107" s="73"/>
      <c r="DR107" s="73"/>
      <c r="DS107" s="73"/>
      <c r="DT107" s="73"/>
      <c r="DU107" s="74"/>
      <c r="DV107" s="74"/>
      <c r="DW107" s="74"/>
      <c r="DX107" s="74"/>
      <c r="DY107" s="74"/>
      <c r="DZ107" s="74"/>
      <c r="EA107" s="76"/>
    </row>
    <row r="108" ht="21.75" customHeight="1">
      <c r="A108" s="64"/>
      <c r="B108" s="70"/>
      <c r="C108" s="71"/>
      <c r="D108" s="71"/>
      <c r="E108" s="71"/>
      <c r="F108" s="81" t="s">
        <v>52</v>
      </c>
      <c r="G108" s="73"/>
      <c r="H108" s="73"/>
      <c r="I108" s="73"/>
      <c r="J108" s="73"/>
      <c r="K108" s="73"/>
      <c r="L108" s="73"/>
      <c r="M108" s="73">
        <f t="shared" ref="M108:M110" si="529">N108+O108</f>
        <v>0</v>
      </c>
      <c r="N108" s="73">
        <v>0.0</v>
      </c>
      <c r="O108" s="73">
        <v>0.0</v>
      </c>
      <c r="P108" s="73"/>
      <c r="Q108" s="73"/>
      <c r="R108" s="73"/>
      <c r="S108" s="73">
        <f t="shared" ref="S108:S110" si="530">T108+U108</f>
        <v>0</v>
      </c>
      <c r="T108" s="73">
        <v>0.0</v>
      </c>
      <c r="U108" s="73">
        <v>0.0</v>
      </c>
      <c r="V108" s="73"/>
      <c r="W108" s="73"/>
      <c r="X108" s="73"/>
      <c r="Y108" s="73">
        <f t="shared" ref="Y108:Y110" si="531">Z108+AA108</f>
        <v>6225.37</v>
      </c>
      <c r="Z108" s="73">
        <v>0.0</v>
      </c>
      <c r="AA108" s="73">
        <v>6225.37</v>
      </c>
      <c r="AB108" s="73"/>
      <c r="AC108" s="73"/>
      <c r="AD108" s="73"/>
      <c r="AE108" s="73">
        <f t="shared" ref="AE108:AG108" si="526">M108+S108+Y108</f>
        <v>6225.37</v>
      </c>
      <c r="AF108" s="73">
        <f t="shared" si="526"/>
        <v>0</v>
      </c>
      <c r="AG108" s="73">
        <f t="shared" si="526"/>
        <v>6225.37</v>
      </c>
      <c r="AH108" s="73"/>
      <c r="AI108" s="73"/>
      <c r="AJ108" s="73"/>
      <c r="AK108" s="73">
        <f t="shared" ref="AK108:AK110" si="533">AL108+AM108</f>
        <v>0</v>
      </c>
      <c r="AL108" s="73">
        <v>0.0</v>
      </c>
      <c r="AM108" s="73">
        <v>0.0</v>
      </c>
      <c r="AN108" s="73"/>
      <c r="AO108" s="73"/>
      <c r="AP108" s="73"/>
      <c r="AQ108" s="73">
        <f t="shared" ref="AQ108:AS108" si="527">AE108+AK108</f>
        <v>6225.37</v>
      </c>
      <c r="AR108" s="73">
        <f t="shared" si="527"/>
        <v>0</v>
      </c>
      <c r="AS108" s="73">
        <f t="shared" si="527"/>
        <v>6225.37</v>
      </c>
      <c r="AT108" s="73"/>
      <c r="AU108" s="73"/>
      <c r="AV108" s="73"/>
      <c r="AW108" s="73">
        <v>0.0</v>
      </c>
      <c r="AX108" s="73">
        <v>0.0</v>
      </c>
      <c r="AY108" s="73">
        <v>0.0</v>
      </c>
      <c r="AZ108" s="73"/>
      <c r="BA108" s="73"/>
      <c r="BB108" s="73"/>
      <c r="BC108" s="73">
        <f t="shared" ref="BC108:BE108" si="528">AQ108+AW108</f>
        <v>6225.37</v>
      </c>
      <c r="BD108" s="73">
        <f t="shared" si="528"/>
        <v>0</v>
      </c>
      <c r="BE108" s="73">
        <f t="shared" si="528"/>
        <v>6225.37</v>
      </c>
      <c r="BF108" s="73"/>
      <c r="BG108" s="73"/>
      <c r="BH108" s="73"/>
      <c r="BI108" s="73"/>
      <c r="BJ108" s="73"/>
      <c r="BK108" s="73"/>
      <c r="BL108" s="73"/>
      <c r="BM108" s="73"/>
      <c r="BN108" s="73"/>
      <c r="BO108" s="73"/>
      <c r="BP108" s="73"/>
      <c r="BQ108" s="73"/>
      <c r="BR108" s="73"/>
      <c r="BS108" s="73"/>
      <c r="BT108" s="73"/>
      <c r="BU108" s="73"/>
      <c r="BV108" s="73"/>
      <c r="BW108" s="73"/>
      <c r="BX108" s="73"/>
      <c r="BY108" s="73"/>
      <c r="BZ108" s="73"/>
      <c r="CA108" s="73"/>
      <c r="CB108" s="73"/>
      <c r="CC108" s="73"/>
      <c r="CD108" s="73"/>
      <c r="CE108" s="73"/>
      <c r="CF108" s="73"/>
      <c r="CG108" s="73"/>
      <c r="CH108" s="73"/>
      <c r="CI108" s="73"/>
      <c r="CJ108" s="73"/>
      <c r="CK108" s="73"/>
      <c r="CL108" s="73"/>
      <c r="CM108" s="73"/>
      <c r="CN108" s="73"/>
      <c r="CO108" s="73"/>
      <c r="CP108" s="73"/>
      <c r="CQ108" s="73"/>
      <c r="CR108" s="73"/>
      <c r="CS108" s="73"/>
      <c r="CT108" s="73"/>
      <c r="CU108" s="73"/>
      <c r="CV108" s="73"/>
      <c r="CW108" s="73"/>
      <c r="CX108" s="73"/>
      <c r="CY108" s="73"/>
      <c r="CZ108" s="73"/>
      <c r="DA108" s="73"/>
      <c r="DB108" s="73"/>
      <c r="DC108" s="73"/>
      <c r="DD108" s="73"/>
      <c r="DE108" s="73"/>
      <c r="DF108" s="73"/>
      <c r="DG108" s="73"/>
      <c r="DH108" s="73"/>
      <c r="DI108" s="73"/>
      <c r="DJ108" s="73"/>
      <c r="DK108" s="73"/>
      <c r="DL108" s="73"/>
      <c r="DM108" s="73"/>
      <c r="DN108" s="73"/>
      <c r="DO108" s="73"/>
      <c r="DP108" s="73"/>
      <c r="DQ108" s="73"/>
      <c r="DR108" s="73"/>
      <c r="DS108" s="73"/>
      <c r="DT108" s="73"/>
      <c r="DU108" s="74"/>
      <c r="DV108" s="74"/>
      <c r="DW108" s="72"/>
      <c r="DX108" s="72"/>
      <c r="DY108" s="72"/>
      <c r="DZ108" s="96"/>
      <c r="EA108" s="91" t="s">
        <v>105</v>
      </c>
    </row>
    <row r="109" ht="21.75" customHeight="1">
      <c r="A109" s="64"/>
      <c r="B109" s="70"/>
      <c r="C109" s="71"/>
      <c r="D109" s="71"/>
      <c r="E109" s="71"/>
      <c r="F109" s="78" t="s">
        <v>53</v>
      </c>
      <c r="G109" s="73"/>
      <c r="H109" s="73"/>
      <c r="I109" s="73"/>
      <c r="J109" s="73"/>
      <c r="K109" s="73"/>
      <c r="L109" s="73"/>
      <c r="M109" s="79">
        <f t="shared" si="529"/>
        <v>0</v>
      </c>
      <c r="N109" s="79">
        <v>0.0</v>
      </c>
      <c r="O109" s="79">
        <v>0.0</v>
      </c>
      <c r="P109" s="79"/>
      <c r="Q109" s="79"/>
      <c r="R109" s="79"/>
      <c r="S109" s="79">
        <f t="shared" si="530"/>
        <v>0</v>
      </c>
      <c r="T109" s="79">
        <v>0.0</v>
      </c>
      <c r="U109" s="79">
        <v>0.0</v>
      </c>
      <c r="V109" s="79"/>
      <c r="W109" s="79"/>
      <c r="X109" s="79"/>
      <c r="Y109" s="79">
        <f t="shared" si="531"/>
        <v>0</v>
      </c>
      <c r="Z109" s="79">
        <v>0.0</v>
      </c>
      <c r="AA109" s="79">
        <v>0.0</v>
      </c>
      <c r="AB109" s="79"/>
      <c r="AC109" s="79"/>
      <c r="AD109" s="79"/>
      <c r="AE109" s="79">
        <f t="shared" ref="AE109:AG109" si="532">M109+S109+Y109</f>
        <v>0</v>
      </c>
      <c r="AF109" s="79">
        <f t="shared" si="532"/>
        <v>0</v>
      </c>
      <c r="AG109" s="79">
        <f t="shared" si="532"/>
        <v>0</v>
      </c>
      <c r="AH109" s="73"/>
      <c r="AI109" s="73"/>
      <c r="AJ109" s="73"/>
      <c r="AK109" s="79">
        <f t="shared" si="533"/>
        <v>0</v>
      </c>
      <c r="AL109" s="79">
        <v>0.0</v>
      </c>
      <c r="AM109" s="79">
        <v>0.0</v>
      </c>
      <c r="AN109" s="73"/>
      <c r="AO109" s="73"/>
      <c r="AP109" s="73"/>
      <c r="AQ109" s="79">
        <f t="shared" ref="AQ109:AS109" si="534">AE109+AK109</f>
        <v>0</v>
      </c>
      <c r="AR109" s="79">
        <f t="shared" si="534"/>
        <v>0</v>
      </c>
      <c r="AS109" s="79">
        <f t="shared" si="534"/>
        <v>0</v>
      </c>
      <c r="AT109" s="73"/>
      <c r="AU109" s="73"/>
      <c r="AV109" s="73"/>
      <c r="AW109" s="79">
        <f>AX109+AY109</f>
        <v>7734.91833</v>
      </c>
      <c r="AX109" s="79">
        <v>0.0</v>
      </c>
      <c r="AY109" s="79">
        <v>7734.91833</v>
      </c>
      <c r="AZ109" s="73"/>
      <c r="BA109" s="73"/>
      <c r="BB109" s="73"/>
      <c r="BC109" s="79">
        <f t="shared" ref="BC109:BE109" si="535">AQ109+AW109</f>
        <v>7734.91833</v>
      </c>
      <c r="BD109" s="79">
        <f t="shared" si="535"/>
        <v>0</v>
      </c>
      <c r="BE109" s="79">
        <f t="shared" si="535"/>
        <v>7734.91833</v>
      </c>
      <c r="BF109" s="73"/>
      <c r="BG109" s="73"/>
      <c r="BH109" s="73"/>
      <c r="BI109" s="73"/>
      <c r="BJ109" s="73"/>
      <c r="BK109" s="73"/>
      <c r="BL109" s="73"/>
      <c r="BM109" s="73"/>
      <c r="BN109" s="73"/>
      <c r="BO109" s="73"/>
      <c r="BP109" s="73"/>
      <c r="BQ109" s="73"/>
      <c r="BR109" s="73"/>
      <c r="BS109" s="73"/>
      <c r="BT109" s="73"/>
      <c r="BU109" s="73"/>
      <c r="BV109" s="73"/>
      <c r="BW109" s="73"/>
      <c r="BX109" s="73"/>
      <c r="BY109" s="73"/>
      <c r="BZ109" s="73"/>
      <c r="CA109" s="73"/>
      <c r="CB109" s="73"/>
      <c r="CC109" s="73"/>
      <c r="CD109" s="73"/>
      <c r="CE109" s="73"/>
      <c r="CF109" s="73"/>
      <c r="CG109" s="73"/>
      <c r="CH109" s="73"/>
      <c r="CI109" s="73"/>
      <c r="CJ109" s="73"/>
      <c r="CK109" s="73"/>
      <c r="CL109" s="73"/>
      <c r="CM109" s="73"/>
      <c r="CN109" s="73"/>
      <c r="CO109" s="73"/>
      <c r="CP109" s="73"/>
      <c r="CQ109" s="73"/>
      <c r="CR109" s="73"/>
      <c r="CS109" s="73"/>
      <c r="CT109" s="73"/>
      <c r="CU109" s="73"/>
      <c r="CV109" s="73"/>
      <c r="CW109" s="73"/>
      <c r="CX109" s="73"/>
      <c r="CY109" s="73"/>
      <c r="CZ109" s="73"/>
      <c r="DA109" s="73"/>
      <c r="DB109" s="73"/>
      <c r="DC109" s="73"/>
      <c r="DD109" s="73"/>
      <c r="DE109" s="73"/>
      <c r="DF109" s="73"/>
      <c r="DG109" s="73"/>
      <c r="DH109" s="73"/>
      <c r="DI109" s="73"/>
      <c r="DJ109" s="73"/>
      <c r="DK109" s="73"/>
      <c r="DL109" s="73"/>
      <c r="DM109" s="73"/>
      <c r="DN109" s="73"/>
      <c r="DO109" s="73"/>
      <c r="DP109" s="73"/>
      <c r="DQ109" s="73"/>
      <c r="DR109" s="73"/>
      <c r="DS109" s="73"/>
      <c r="DT109" s="73"/>
      <c r="DU109" s="74"/>
      <c r="DV109" s="74"/>
      <c r="DW109" s="72"/>
      <c r="DX109" s="72"/>
      <c r="DY109" s="72"/>
      <c r="DZ109" s="75"/>
      <c r="EA109" s="76" t="s">
        <v>106</v>
      </c>
    </row>
    <row r="110" ht="21.75" customHeight="1">
      <c r="A110" s="64"/>
      <c r="B110" s="92"/>
      <c r="C110" s="72"/>
      <c r="D110" s="71"/>
      <c r="E110" s="71"/>
      <c r="F110" s="78" t="s">
        <v>55</v>
      </c>
      <c r="G110" s="73"/>
      <c r="H110" s="73"/>
      <c r="I110" s="73"/>
      <c r="J110" s="73"/>
      <c r="K110" s="73"/>
      <c r="L110" s="73"/>
      <c r="M110" s="79">
        <f t="shared" si="529"/>
        <v>0</v>
      </c>
      <c r="N110" s="79">
        <v>0.0</v>
      </c>
      <c r="O110" s="79">
        <v>0.0</v>
      </c>
      <c r="P110" s="79"/>
      <c r="Q110" s="79"/>
      <c r="R110" s="79"/>
      <c r="S110" s="79">
        <f t="shared" si="530"/>
        <v>0</v>
      </c>
      <c r="T110" s="79">
        <v>0.0</v>
      </c>
      <c r="U110" s="79">
        <v>0.0</v>
      </c>
      <c r="V110" s="79"/>
      <c r="W110" s="79"/>
      <c r="X110" s="79"/>
      <c r="Y110" s="79">
        <f t="shared" si="531"/>
        <v>0</v>
      </c>
      <c r="Z110" s="79">
        <v>0.0</v>
      </c>
      <c r="AA110" s="79">
        <v>0.0</v>
      </c>
      <c r="AB110" s="79"/>
      <c r="AC110" s="79"/>
      <c r="AD110" s="79"/>
      <c r="AE110" s="79">
        <f t="shared" ref="AE110:AG110" si="536">M110+S110+Y110</f>
        <v>0</v>
      </c>
      <c r="AF110" s="79">
        <f t="shared" si="536"/>
        <v>0</v>
      </c>
      <c r="AG110" s="79">
        <f t="shared" si="536"/>
        <v>0</v>
      </c>
      <c r="AH110" s="73"/>
      <c r="AI110" s="73"/>
      <c r="AJ110" s="73"/>
      <c r="AK110" s="79">
        <f t="shared" si="533"/>
        <v>0</v>
      </c>
      <c r="AL110" s="79">
        <v>0.0</v>
      </c>
      <c r="AM110" s="79">
        <v>0.0</v>
      </c>
      <c r="AN110" s="73"/>
      <c r="AO110" s="73"/>
      <c r="AP110" s="73"/>
      <c r="AQ110" s="79">
        <f t="shared" ref="AQ110:AS110" si="537">AE110+AK110</f>
        <v>0</v>
      </c>
      <c r="AR110" s="79">
        <f t="shared" si="537"/>
        <v>0</v>
      </c>
      <c r="AS110" s="79">
        <f t="shared" si="537"/>
        <v>0</v>
      </c>
      <c r="AT110" s="73"/>
      <c r="AU110" s="73"/>
      <c r="AV110" s="73"/>
      <c r="AW110" s="79">
        <v>0.0</v>
      </c>
      <c r="AX110" s="79">
        <v>0.0</v>
      </c>
      <c r="AY110" s="79">
        <v>0.0</v>
      </c>
      <c r="AZ110" s="73"/>
      <c r="BA110" s="73"/>
      <c r="BB110" s="73"/>
      <c r="BC110" s="79">
        <f t="shared" ref="BC110:BE110" si="538">AQ110+AW110</f>
        <v>0</v>
      </c>
      <c r="BD110" s="79">
        <f t="shared" si="538"/>
        <v>0</v>
      </c>
      <c r="BE110" s="79">
        <f t="shared" si="538"/>
        <v>0</v>
      </c>
      <c r="BF110" s="73"/>
      <c r="BG110" s="73"/>
      <c r="BH110" s="73"/>
      <c r="BI110" s="73"/>
      <c r="BJ110" s="73"/>
      <c r="BK110" s="73"/>
      <c r="BL110" s="73"/>
      <c r="BM110" s="73"/>
      <c r="BN110" s="73"/>
      <c r="BO110" s="73"/>
      <c r="BP110" s="73"/>
      <c r="BQ110" s="73"/>
      <c r="BR110" s="73"/>
      <c r="BS110" s="73"/>
      <c r="BT110" s="73"/>
      <c r="BU110" s="73"/>
      <c r="BV110" s="73"/>
      <c r="BW110" s="73"/>
      <c r="BX110" s="73"/>
      <c r="BY110" s="73"/>
      <c r="BZ110" s="73"/>
      <c r="CA110" s="73"/>
      <c r="CB110" s="73"/>
      <c r="CC110" s="73"/>
      <c r="CD110" s="73"/>
      <c r="CE110" s="73"/>
      <c r="CF110" s="73"/>
      <c r="CG110" s="73"/>
      <c r="CH110" s="73"/>
      <c r="CI110" s="73"/>
      <c r="CJ110" s="73"/>
      <c r="CK110" s="73"/>
      <c r="CL110" s="73"/>
      <c r="CM110" s="73"/>
      <c r="CN110" s="73"/>
      <c r="CO110" s="73"/>
      <c r="CP110" s="73"/>
      <c r="CQ110" s="73"/>
      <c r="CR110" s="73"/>
      <c r="CS110" s="73"/>
      <c r="CT110" s="73"/>
      <c r="CU110" s="73"/>
      <c r="CV110" s="73"/>
      <c r="CW110" s="73"/>
      <c r="CX110" s="73"/>
      <c r="CY110" s="73"/>
      <c r="CZ110" s="73"/>
      <c r="DA110" s="73"/>
      <c r="DB110" s="73"/>
      <c r="DC110" s="73"/>
      <c r="DD110" s="73"/>
      <c r="DE110" s="73"/>
      <c r="DF110" s="73"/>
      <c r="DG110" s="73"/>
      <c r="DH110" s="73"/>
      <c r="DI110" s="73"/>
      <c r="DJ110" s="73"/>
      <c r="DK110" s="73"/>
      <c r="DL110" s="73"/>
      <c r="DM110" s="73"/>
      <c r="DN110" s="73"/>
      <c r="DO110" s="73"/>
      <c r="DP110" s="73"/>
      <c r="DQ110" s="73"/>
      <c r="DR110" s="73"/>
      <c r="DS110" s="73"/>
      <c r="DT110" s="73"/>
      <c r="DU110" s="74"/>
      <c r="DV110" s="74"/>
      <c r="DW110" s="72"/>
      <c r="DX110" s="72"/>
      <c r="DY110" s="72"/>
      <c r="DZ110" s="75"/>
      <c r="EA110" s="76"/>
    </row>
    <row r="111" ht="21.75" customHeight="1">
      <c r="A111" s="64"/>
      <c r="B111" s="70" t="s">
        <v>40</v>
      </c>
      <c r="C111" s="71" t="s">
        <v>107</v>
      </c>
      <c r="D111" s="71" t="s">
        <v>41</v>
      </c>
      <c r="E111" s="71" t="s">
        <v>58</v>
      </c>
      <c r="F111" s="72" t="s">
        <v>108</v>
      </c>
      <c r="G111" s="73">
        <v>1618360.0</v>
      </c>
      <c r="H111" s="73">
        <v>0.0</v>
      </c>
      <c r="I111" s="73">
        <v>1618360.0</v>
      </c>
      <c r="J111" s="73">
        <f t="shared" ref="J111:L111" si="539">J112+J114+J117</f>
        <v>0</v>
      </c>
      <c r="K111" s="73">
        <f t="shared" si="539"/>
        <v>0</v>
      </c>
      <c r="L111" s="73">
        <f t="shared" si="539"/>
        <v>0</v>
      </c>
      <c r="M111" s="73">
        <f t="shared" ref="M111:O111" si="540">M112+M114+M117+M120+M121</f>
        <v>4235.22218</v>
      </c>
      <c r="N111" s="73">
        <f t="shared" si="540"/>
        <v>0</v>
      </c>
      <c r="O111" s="73">
        <f t="shared" si="540"/>
        <v>4235.22218</v>
      </c>
      <c r="P111" s="73">
        <f t="shared" ref="P111:R111" si="541">P112+P114+P117</f>
        <v>0</v>
      </c>
      <c r="Q111" s="73">
        <f t="shared" si="541"/>
        <v>0</v>
      </c>
      <c r="R111" s="73">
        <f t="shared" si="541"/>
        <v>0</v>
      </c>
      <c r="S111" s="73">
        <f t="shared" ref="S111:U111" si="542">S112+S114+S117+S120+S121</f>
        <v>17471.6745</v>
      </c>
      <c r="T111" s="73">
        <f t="shared" si="542"/>
        <v>0</v>
      </c>
      <c r="U111" s="73">
        <f t="shared" si="542"/>
        <v>17471.6745</v>
      </c>
      <c r="V111" s="73">
        <v>2057.0</v>
      </c>
      <c r="W111" s="73">
        <f>W112+W114+W117</f>
        <v>0</v>
      </c>
      <c r="X111" s="73">
        <v>2057.0</v>
      </c>
      <c r="Y111" s="73">
        <f t="shared" ref="Y111:AA111" si="543">Y112+Y114+Y117+Y120+Y121</f>
        <v>270737.6741</v>
      </c>
      <c r="Z111" s="73">
        <f t="shared" si="543"/>
        <v>0</v>
      </c>
      <c r="AA111" s="73">
        <f t="shared" si="543"/>
        <v>270737.6741</v>
      </c>
      <c r="AB111" s="73">
        <f t="shared" ref="AB111:AG111" si="544">J111+P111+V111</f>
        <v>2057</v>
      </c>
      <c r="AC111" s="73">
        <f t="shared" si="544"/>
        <v>0</v>
      </c>
      <c r="AD111" s="73">
        <f t="shared" si="544"/>
        <v>2057</v>
      </c>
      <c r="AE111" s="73">
        <f t="shared" si="544"/>
        <v>292444.5708</v>
      </c>
      <c r="AF111" s="73">
        <f t="shared" si="544"/>
        <v>0</v>
      </c>
      <c r="AG111" s="73">
        <f t="shared" si="544"/>
        <v>292444.5708</v>
      </c>
      <c r="AH111" s="73">
        <v>6972.0</v>
      </c>
      <c r="AI111" s="73">
        <v>0.0</v>
      </c>
      <c r="AJ111" s="73">
        <v>6972.0</v>
      </c>
      <c r="AK111" s="73">
        <f t="shared" ref="AK111:AM111" si="545">AK112+AK114+AK117+AK120+AK121</f>
        <v>167647.0603</v>
      </c>
      <c r="AL111" s="73">
        <f t="shared" si="545"/>
        <v>0</v>
      </c>
      <c r="AM111" s="73">
        <f t="shared" si="545"/>
        <v>167647.0603</v>
      </c>
      <c r="AN111" s="73">
        <f t="shared" ref="AN111:AS111" si="546">AB111+AH111</f>
        <v>9029</v>
      </c>
      <c r="AO111" s="73">
        <f t="shared" si="546"/>
        <v>0</v>
      </c>
      <c r="AP111" s="73">
        <f t="shared" si="546"/>
        <v>9029</v>
      </c>
      <c r="AQ111" s="73">
        <f t="shared" si="546"/>
        <v>460091.6311</v>
      </c>
      <c r="AR111" s="73">
        <f t="shared" si="546"/>
        <v>0</v>
      </c>
      <c r="AS111" s="73">
        <f t="shared" si="546"/>
        <v>460091.6311</v>
      </c>
      <c r="AT111" s="73">
        <v>10458.0</v>
      </c>
      <c r="AU111" s="73">
        <f>AU112+AU114+AU117</f>
        <v>0</v>
      </c>
      <c r="AV111" s="73">
        <v>10458.0</v>
      </c>
      <c r="AW111" s="73">
        <f t="shared" ref="AW111:AY111" si="547">AW112+AW114+AW117+AW120+AW121</f>
        <v>13961.10292</v>
      </c>
      <c r="AX111" s="73">
        <f t="shared" si="547"/>
        <v>0</v>
      </c>
      <c r="AY111" s="73">
        <f t="shared" si="547"/>
        <v>13961.10292</v>
      </c>
      <c r="AZ111" s="73">
        <f t="shared" ref="AZ111:BE111" si="548">AN111+AT111</f>
        <v>19487</v>
      </c>
      <c r="BA111" s="73">
        <f t="shared" si="548"/>
        <v>0</v>
      </c>
      <c r="BB111" s="73">
        <f t="shared" si="548"/>
        <v>19487</v>
      </c>
      <c r="BC111" s="73">
        <f t="shared" si="548"/>
        <v>474052.734</v>
      </c>
      <c r="BD111" s="73">
        <f t="shared" si="548"/>
        <v>0</v>
      </c>
      <c r="BE111" s="73">
        <f t="shared" si="548"/>
        <v>474052.734</v>
      </c>
      <c r="BF111" s="73">
        <f t="shared" ref="BF111:DY111" si="549">BF112+BF114+BF117</f>
        <v>0</v>
      </c>
      <c r="BG111" s="73">
        <f t="shared" si="549"/>
        <v>0</v>
      </c>
      <c r="BH111" s="73">
        <f t="shared" si="549"/>
        <v>0</v>
      </c>
      <c r="BI111" s="73">
        <f t="shared" si="549"/>
        <v>0</v>
      </c>
      <c r="BJ111" s="73">
        <f t="shared" si="549"/>
        <v>0</v>
      </c>
      <c r="BK111" s="73">
        <f t="shared" si="549"/>
        <v>0</v>
      </c>
      <c r="BL111" s="73">
        <f t="shared" si="549"/>
        <v>0</v>
      </c>
      <c r="BM111" s="73">
        <f t="shared" si="549"/>
        <v>0</v>
      </c>
      <c r="BN111" s="73">
        <f t="shared" si="549"/>
        <v>0</v>
      </c>
      <c r="BO111" s="73">
        <f t="shared" si="549"/>
        <v>0</v>
      </c>
      <c r="BP111" s="73">
        <f t="shared" si="549"/>
        <v>0</v>
      </c>
      <c r="BQ111" s="73">
        <f t="shared" si="549"/>
        <v>0</v>
      </c>
      <c r="BR111" s="73">
        <f t="shared" si="549"/>
        <v>0</v>
      </c>
      <c r="BS111" s="73">
        <f t="shared" si="549"/>
        <v>0</v>
      </c>
      <c r="BT111" s="73">
        <f t="shared" si="549"/>
        <v>0</v>
      </c>
      <c r="BU111" s="73">
        <f t="shared" si="549"/>
        <v>0</v>
      </c>
      <c r="BV111" s="73">
        <f t="shared" si="549"/>
        <v>0</v>
      </c>
      <c r="BW111" s="73">
        <f t="shared" si="549"/>
        <v>0</v>
      </c>
      <c r="BX111" s="73">
        <f t="shared" si="549"/>
        <v>0</v>
      </c>
      <c r="BY111" s="73">
        <f t="shared" si="549"/>
        <v>0</v>
      </c>
      <c r="BZ111" s="73">
        <f t="shared" si="549"/>
        <v>0</v>
      </c>
      <c r="CA111" s="73">
        <f t="shared" si="549"/>
        <v>0</v>
      </c>
      <c r="CB111" s="73">
        <f t="shared" si="549"/>
        <v>0</v>
      </c>
      <c r="CC111" s="73">
        <f t="shared" si="549"/>
        <v>0</v>
      </c>
      <c r="CD111" s="73">
        <f t="shared" si="549"/>
        <v>0</v>
      </c>
      <c r="CE111" s="73">
        <f t="shared" si="549"/>
        <v>0</v>
      </c>
      <c r="CF111" s="73">
        <f t="shared" si="549"/>
        <v>0</v>
      </c>
      <c r="CG111" s="73">
        <f t="shared" si="549"/>
        <v>0</v>
      </c>
      <c r="CH111" s="73">
        <f t="shared" si="549"/>
        <v>0</v>
      </c>
      <c r="CI111" s="73">
        <f t="shared" si="549"/>
        <v>0</v>
      </c>
      <c r="CJ111" s="73">
        <f t="shared" si="549"/>
        <v>0</v>
      </c>
      <c r="CK111" s="73">
        <f t="shared" si="549"/>
        <v>0</v>
      </c>
      <c r="CL111" s="73">
        <f t="shared" si="549"/>
        <v>0</v>
      </c>
      <c r="CM111" s="73">
        <f t="shared" si="549"/>
        <v>0</v>
      </c>
      <c r="CN111" s="73">
        <f t="shared" si="549"/>
        <v>0</v>
      </c>
      <c r="CO111" s="73">
        <f t="shared" si="549"/>
        <v>0</v>
      </c>
      <c r="CP111" s="73">
        <f t="shared" si="549"/>
        <v>0</v>
      </c>
      <c r="CQ111" s="73">
        <f t="shared" si="549"/>
        <v>0</v>
      </c>
      <c r="CR111" s="73">
        <f t="shared" si="549"/>
        <v>0</v>
      </c>
      <c r="CS111" s="73">
        <f t="shared" si="549"/>
        <v>0</v>
      </c>
      <c r="CT111" s="73">
        <f t="shared" si="549"/>
        <v>0</v>
      </c>
      <c r="CU111" s="73">
        <f t="shared" si="549"/>
        <v>0</v>
      </c>
      <c r="CV111" s="73">
        <f t="shared" si="549"/>
        <v>0</v>
      </c>
      <c r="CW111" s="73">
        <f t="shared" si="549"/>
        <v>0</v>
      </c>
      <c r="CX111" s="73">
        <f t="shared" si="549"/>
        <v>0</v>
      </c>
      <c r="CY111" s="73">
        <f t="shared" si="549"/>
        <v>0</v>
      </c>
      <c r="CZ111" s="73">
        <f t="shared" si="549"/>
        <v>0</v>
      </c>
      <c r="DA111" s="73">
        <f t="shared" si="549"/>
        <v>0</v>
      </c>
      <c r="DB111" s="73">
        <f t="shared" si="549"/>
        <v>0</v>
      </c>
      <c r="DC111" s="73">
        <f t="shared" si="549"/>
        <v>0</v>
      </c>
      <c r="DD111" s="73">
        <f t="shared" si="549"/>
        <v>0</v>
      </c>
      <c r="DE111" s="73">
        <f t="shared" si="549"/>
        <v>0</v>
      </c>
      <c r="DF111" s="73">
        <f t="shared" si="549"/>
        <v>0</v>
      </c>
      <c r="DG111" s="73">
        <f t="shared" si="549"/>
        <v>0</v>
      </c>
      <c r="DH111" s="73">
        <f t="shared" si="549"/>
        <v>0</v>
      </c>
      <c r="DI111" s="73">
        <f t="shared" si="549"/>
        <v>0</v>
      </c>
      <c r="DJ111" s="73">
        <f t="shared" si="549"/>
        <v>0</v>
      </c>
      <c r="DK111" s="73">
        <f t="shared" si="549"/>
        <v>0</v>
      </c>
      <c r="DL111" s="73">
        <f t="shared" si="549"/>
        <v>0</v>
      </c>
      <c r="DM111" s="73">
        <f t="shared" si="549"/>
        <v>0</v>
      </c>
      <c r="DN111" s="73">
        <f t="shared" si="549"/>
        <v>0</v>
      </c>
      <c r="DO111" s="73">
        <f t="shared" si="549"/>
        <v>0</v>
      </c>
      <c r="DP111" s="73">
        <f t="shared" si="549"/>
        <v>0</v>
      </c>
      <c r="DQ111" s="73">
        <f t="shared" si="549"/>
        <v>0</v>
      </c>
      <c r="DR111" s="73">
        <f t="shared" si="549"/>
        <v>0</v>
      </c>
      <c r="DS111" s="73">
        <f t="shared" si="549"/>
        <v>0</v>
      </c>
      <c r="DT111" s="73">
        <f t="shared" si="549"/>
        <v>0</v>
      </c>
      <c r="DU111" s="73">
        <f t="shared" si="549"/>
        <v>0</v>
      </c>
      <c r="DV111" s="73">
        <f t="shared" si="549"/>
        <v>0</v>
      </c>
      <c r="DW111" s="73">
        <f t="shared" si="549"/>
        <v>0</v>
      </c>
      <c r="DX111" s="73">
        <f t="shared" si="549"/>
        <v>0</v>
      </c>
      <c r="DY111" s="73">
        <f t="shared" si="549"/>
        <v>0</v>
      </c>
      <c r="DZ111" s="73"/>
      <c r="EA111" s="76"/>
    </row>
    <row r="112" ht="21.75" customHeight="1">
      <c r="A112" s="64"/>
      <c r="B112" s="70"/>
      <c r="C112" s="71"/>
      <c r="D112" s="71"/>
      <c r="E112" s="71"/>
      <c r="F112" s="78" t="s">
        <v>46</v>
      </c>
      <c r="G112" s="73"/>
      <c r="H112" s="73"/>
      <c r="I112" s="73"/>
      <c r="J112" s="73"/>
      <c r="K112" s="73"/>
      <c r="L112" s="73"/>
      <c r="M112" s="79">
        <f t="shared" ref="M112:O112" si="550">M113</f>
        <v>0</v>
      </c>
      <c r="N112" s="79">
        <f t="shared" si="550"/>
        <v>0</v>
      </c>
      <c r="O112" s="79">
        <f t="shared" si="550"/>
        <v>0</v>
      </c>
      <c r="P112" s="79"/>
      <c r="Q112" s="79"/>
      <c r="R112" s="79"/>
      <c r="S112" s="79">
        <f t="shared" ref="S112:U112" si="551">S113</f>
        <v>692.56703</v>
      </c>
      <c r="T112" s="79">
        <f t="shared" si="551"/>
        <v>0</v>
      </c>
      <c r="U112" s="79">
        <f t="shared" si="551"/>
        <v>692.56703</v>
      </c>
      <c r="V112" s="79"/>
      <c r="W112" s="79"/>
      <c r="X112" s="79"/>
      <c r="Y112" s="79">
        <f t="shared" ref="Y112:AA112" si="552">Y113</f>
        <v>0</v>
      </c>
      <c r="Z112" s="79">
        <f t="shared" si="552"/>
        <v>0</v>
      </c>
      <c r="AA112" s="79">
        <f t="shared" si="552"/>
        <v>0</v>
      </c>
      <c r="AB112" s="79"/>
      <c r="AC112" s="79"/>
      <c r="AD112" s="79"/>
      <c r="AE112" s="79">
        <f t="shared" ref="AE112:AG112" si="553">M112+S112+Y112</f>
        <v>692.56703</v>
      </c>
      <c r="AF112" s="79">
        <f t="shared" si="553"/>
        <v>0</v>
      </c>
      <c r="AG112" s="79">
        <f t="shared" si="553"/>
        <v>692.56703</v>
      </c>
      <c r="AH112" s="73"/>
      <c r="AI112" s="73"/>
      <c r="AJ112" s="73"/>
      <c r="AK112" s="79">
        <f t="shared" ref="AK112:AM112" si="554">AK113</f>
        <v>0</v>
      </c>
      <c r="AL112" s="79">
        <f t="shared" si="554"/>
        <v>0</v>
      </c>
      <c r="AM112" s="79">
        <f t="shared" si="554"/>
        <v>0</v>
      </c>
      <c r="AN112" s="73"/>
      <c r="AO112" s="73"/>
      <c r="AP112" s="73"/>
      <c r="AQ112" s="79">
        <f t="shared" ref="AQ112:AS112" si="555">AE112+AK112</f>
        <v>692.56703</v>
      </c>
      <c r="AR112" s="79">
        <f t="shared" si="555"/>
        <v>0</v>
      </c>
      <c r="AS112" s="79">
        <f t="shared" si="555"/>
        <v>692.56703</v>
      </c>
      <c r="AT112" s="73"/>
      <c r="AU112" s="73"/>
      <c r="AV112" s="73"/>
      <c r="AW112" s="79">
        <v>0.0</v>
      </c>
      <c r="AX112" s="79">
        <v>0.0</v>
      </c>
      <c r="AY112" s="79">
        <v>0.0</v>
      </c>
      <c r="AZ112" s="73"/>
      <c r="BA112" s="73"/>
      <c r="BB112" s="73"/>
      <c r="BC112" s="79">
        <f t="shared" ref="BC112:BE112" si="556">AQ112+AW112</f>
        <v>692.56703</v>
      </c>
      <c r="BD112" s="79">
        <f t="shared" si="556"/>
        <v>0</v>
      </c>
      <c r="BE112" s="79">
        <f t="shared" si="556"/>
        <v>692.56703</v>
      </c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3"/>
      <c r="CO112" s="73"/>
      <c r="CP112" s="73"/>
      <c r="CQ112" s="73"/>
      <c r="CR112" s="73"/>
      <c r="CS112" s="73"/>
      <c r="CT112" s="73"/>
      <c r="CU112" s="73"/>
      <c r="CV112" s="73"/>
      <c r="CW112" s="73"/>
      <c r="CX112" s="73"/>
      <c r="CY112" s="73"/>
      <c r="CZ112" s="73"/>
      <c r="DA112" s="73"/>
      <c r="DB112" s="73"/>
      <c r="DC112" s="73"/>
      <c r="DD112" s="73"/>
      <c r="DE112" s="73"/>
      <c r="DF112" s="73"/>
      <c r="DG112" s="73"/>
      <c r="DH112" s="73"/>
      <c r="DI112" s="73"/>
      <c r="DJ112" s="73"/>
      <c r="DK112" s="73"/>
      <c r="DL112" s="73"/>
      <c r="DM112" s="73"/>
      <c r="DN112" s="73"/>
      <c r="DO112" s="73"/>
      <c r="DP112" s="73"/>
      <c r="DQ112" s="73"/>
      <c r="DR112" s="73"/>
      <c r="DS112" s="73"/>
      <c r="DT112" s="73"/>
      <c r="DU112" s="74"/>
      <c r="DV112" s="74"/>
      <c r="DW112" s="72"/>
      <c r="DX112" s="72"/>
      <c r="DY112" s="72"/>
      <c r="DZ112" s="38"/>
      <c r="EA112" s="82"/>
    </row>
    <row r="113" ht="21.75" customHeight="1">
      <c r="A113" s="64"/>
      <c r="B113" s="70"/>
      <c r="C113" s="71"/>
      <c r="D113" s="71"/>
      <c r="E113" s="71"/>
      <c r="F113" s="81" t="s">
        <v>47</v>
      </c>
      <c r="G113" s="73"/>
      <c r="H113" s="73"/>
      <c r="I113" s="73"/>
      <c r="J113" s="73"/>
      <c r="K113" s="73"/>
      <c r="L113" s="73"/>
      <c r="M113" s="73">
        <f>N113+O113</f>
        <v>0</v>
      </c>
      <c r="N113" s="73">
        <v>0.0</v>
      </c>
      <c r="O113" s="73">
        <v>0.0</v>
      </c>
      <c r="P113" s="73"/>
      <c r="Q113" s="73"/>
      <c r="R113" s="73"/>
      <c r="S113" s="73">
        <f>T113+U113</f>
        <v>692.56703</v>
      </c>
      <c r="T113" s="73">
        <v>0.0</v>
      </c>
      <c r="U113" s="73">
        <v>692.56703</v>
      </c>
      <c r="V113" s="73"/>
      <c r="W113" s="73"/>
      <c r="X113" s="73"/>
      <c r="Y113" s="73">
        <f>Z113+AA113</f>
        <v>0</v>
      </c>
      <c r="Z113" s="73">
        <v>0.0</v>
      </c>
      <c r="AA113" s="73">
        <v>0.0</v>
      </c>
      <c r="AB113" s="73"/>
      <c r="AC113" s="73"/>
      <c r="AD113" s="73"/>
      <c r="AE113" s="73">
        <f t="shared" ref="AE113:AG113" si="557">M113+S113+Y113</f>
        <v>692.56703</v>
      </c>
      <c r="AF113" s="73">
        <f t="shared" si="557"/>
        <v>0</v>
      </c>
      <c r="AG113" s="73">
        <f t="shared" si="557"/>
        <v>692.56703</v>
      </c>
      <c r="AH113" s="73"/>
      <c r="AI113" s="73"/>
      <c r="AJ113" s="73"/>
      <c r="AK113" s="73">
        <v>0.0</v>
      </c>
      <c r="AL113" s="73">
        <v>0.0</v>
      </c>
      <c r="AM113" s="73">
        <v>0.0</v>
      </c>
      <c r="AN113" s="73"/>
      <c r="AO113" s="73"/>
      <c r="AP113" s="73"/>
      <c r="AQ113" s="73">
        <f t="shared" ref="AQ113:AS113" si="558">AE113+AK113</f>
        <v>692.56703</v>
      </c>
      <c r="AR113" s="73">
        <f t="shared" si="558"/>
        <v>0</v>
      </c>
      <c r="AS113" s="73">
        <f t="shared" si="558"/>
        <v>692.56703</v>
      </c>
      <c r="AT113" s="73"/>
      <c r="AU113" s="73"/>
      <c r="AV113" s="73"/>
      <c r="AW113" s="73">
        <v>0.0</v>
      </c>
      <c r="AX113" s="73">
        <v>0.0</v>
      </c>
      <c r="AY113" s="73">
        <v>0.0</v>
      </c>
      <c r="AZ113" s="73"/>
      <c r="BA113" s="73"/>
      <c r="BB113" s="73"/>
      <c r="BC113" s="73">
        <f t="shared" ref="BC113:BE113" si="559">AQ113+AW113</f>
        <v>692.56703</v>
      </c>
      <c r="BD113" s="73">
        <f t="shared" si="559"/>
        <v>0</v>
      </c>
      <c r="BE113" s="73">
        <f t="shared" si="559"/>
        <v>692.56703</v>
      </c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3"/>
      <c r="CO113" s="73"/>
      <c r="CP113" s="73"/>
      <c r="CQ113" s="73"/>
      <c r="CR113" s="73"/>
      <c r="CS113" s="73"/>
      <c r="CT113" s="73"/>
      <c r="CU113" s="73"/>
      <c r="CV113" s="73"/>
      <c r="CW113" s="73"/>
      <c r="CX113" s="73"/>
      <c r="CY113" s="73"/>
      <c r="CZ113" s="73"/>
      <c r="DA113" s="73"/>
      <c r="DB113" s="73"/>
      <c r="DC113" s="73"/>
      <c r="DD113" s="73"/>
      <c r="DE113" s="73"/>
      <c r="DF113" s="73"/>
      <c r="DG113" s="73"/>
      <c r="DH113" s="73"/>
      <c r="DI113" s="73"/>
      <c r="DJ113" s="73"/>
      <c r="DK113" s="73"/>
      <c r="DL113" s="73"/>
      <c r="DM113" s="73"/>
      <c r="DN113" s="73"/>
      <c r="DO113" s="73"/>
      <c r="DP113" s="73"/>
      <c r="DQ113" s="73"/>
      <c r="DR113" s="73"/>
      <c r="DS113" s="73"/>
      <c r="DT113" s="73"/>
      <c r="DU113" s="74"/>
      <c r="DV113" s="74"/>
      <c r="DW113" s="72"/>
      <c r="DX113" s="72"/>
      <c r="DY113" s="72"/>
      <c r="DZ113" s="38"/>
      <c r="EA113" s="82"/>
    </row>
    <row r="114" ht="21.75" customHeight="1">
      <c r="A114" s="64"/>
      <c r="B114" s="70"/>
      <c r="C114" s="71"/>
      <c r="D114" s="71"/>
      <c r="E114" s="71"/>
      <c r="F114" s="78" t="s">
        <v>48</v>
      </c>
      <c r="G114" s="73"/>
      <c r="H114" s="73"/>
      <c r="I114" s="73"/>
      <c r="J114" s="73"/>
      <c r="K114" s="73"/>
      <c r="L114" s="73"/>
      <c r="M114" s="79">
        <f t="shared" ref="M114:O114" si="560">M115+M116</f>
        <v>3992.58588</v>
      </c>
      <c r="N114" s="79">
        <f t="shared" si="560"/>
        <v>0</v>
      </c>
      <c r="O114" s="79">
        <f t="shared" si="560"/>
        <v>3992.58588</v>
      </c>
      <c r="P114" s="79"/>
      <c r="Q114" s="79"/>
      <c r="R114" s="79"/>
      <c r="S114" s="79">
        <f t="shared" ref="S114:U114" si="561">S115+S116</f>
        <v>3954</v>
      </c>
      <c r="T114" s="79">
        <f t="shared" si="561"/>
        <v>0</v>
      </c>
      <c r="U114" s="79">
        <f t="shared" si="561"/>
        <v>3954</v>
      </c>
      <c r="V114" s="79"/>
      <c r="W114" s="79"/>
      <c r="X114" s="79"/>
      <c r="Y114" s="79">
        <f t="shared" ref="Y114:AA114" si="562">Y115+Y116</f>
        <v>3567.79204</v>
      </c>
      <c r="Z114" s="79">
        <f t="shared" si="562"/>
        <v>0</v>
      </c>
      <c r="AA114" s="79">
        <f t="shared" si="562"/>
        <v>3567.79204</v>
      </c>
      <c r="AB114" s="79"/>
      <c r="AC114" s="79"/>
      <c r="AD114" s="79"/>
      <c r="AE114" s="79">
        <f t="shared" ref="AE114:AG114" si="563">M114+S114+Y114</f>
        <v>11514.37792</v>
      </c>
      <c r="AF114" s="79">
        <f t="shared" si="563"/>
        <v>0</v>
      </c>
      <c r="AG114" s="79">
        <f t="shared" si="563"/>
        <v>11514.37792</v>
      </c>
      <c r="AH114" s="73"/>
      <c r="AI114" s="73"/>
      <c r="AJ114" s="73"/>
      <c r="AK114" s="79">
        <f t="shared" ref="AK114:AM114" si="564">AK115+AK116</f>
        <v>4040.46915</v>
      </c>
      <c r="AL114" s="79">
        <f t="shared" si="564"/>
        <v>0</v>
      </c>
      <c r="AM114" s="79">
        <f t="shared" si="564"/>
        <v>4040.46915</v>
      </c>
      <c r="AN114" s="73"/>
      <c r="AO114" s="73"/>
      <c r="AP114" s="73"/>
      <c r="AQ114" s="79">
        <f t="shared" ref="AQ114:AS114" si="565">AE114+AK114</f>
        <v>15554.84707</v>
      </c>
      <c r="AR114" s="79">
        <f t="shared" si="565"/>
        <v>0</v>
      </c>
      <c r="AS114" s="79">
        <f t="shared" si="565"/>
        <v>15554.84707</v>
      </c>
      <c r="AT114" s="73"/>
      <c r="AU114" s="73"/>
      <c r="AV114" s="73"/>
      <c r="AW114" s="79">
        <f t="shared" ref="AW114:AY114" si="566">AW115</f>
        <v>2909.08389</v>
      </c>
      <c r="AX114" s="79">
        <f t="shared" si="566"/>
        <v>0</v>
      </c>
      <c r="AY114" s="79">
        <f t="shared" si="566"/>
        <v>2909.08389</v>
      </c>
      <c r="AZ114" s="73"/>
      <c r="BA114" s="73"/>
      <c r="BB114" s="73"/>
      <c r="BC114" s="79">
        <f t="shared" ref="BC114:BE114" si="567">AQ114+AW114</f>
        <v>18463.93096</v>
      </c>
      <c r="BD114" s="79">
        <f t="shared" si="567"/>
        <v>0</v>
      </c>
      <c r="BE114" s="79">
        <f t="shared" si="567"/>
        <v>18463.93096</v>
      </c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3"/>
      <c r="CO114" s="73"/>
      <c r="CP114" s="73"/>
      <c r="CQ114" s="73"/>
      <c r="CR114" s="73"/>
      <c r="CS114" s="73"/>
      <c r="CT114" s="73"/>
      <c r="CU114" s="73"/>
      <c r="CV114" s="73"/>
      <c r="CW114" s="73"/>
      <c r="CX114" s="73"/>
      <c r="CY114" s="73"/>
      <c r="CZ114" s="73"/>
      <c r="DA114" s="73"/>
      <c r="DB114" s="73"/>
      <c r="DC114" s="73"/>
      <c r="DD114" s="73"/>
      <c r="DE114" s="73"/>
      <c r="DF114" s="73"/>
      <c r="DG114" s="73"/>
      <c r="DH114" s="73"/>
      <c r="DI114" s="73"/>
      <c r="DJ114" s="73"/>
      <c r="DK114" s="73"/>
      <c r="DL114" s="73"/>
      <c r="DM114" s="73"/>
      <c r="DN114" s="73"/>
      <c r="DO114" s="73"/>
      <c r="DP114" s="73"/>
      <c r="DQ114" s="73"/>
      <c r="DR114" s="73"/>
      <c r="DS114" s="73"/>
      <c r="DT114" s="73"/>
      <c r="DU114" s="74"/>
      <c r="DV114" s="74"/>
      <c r="DW114" s="72"/>
      <c r="DX114" s="72"/>
      <c r="DY114" s="72"/>
      <c r="DZ114" s="75"/>
      <c r="EA114" s="82"/>
    </row>
    <row r="115" ht="21.75" customHeight="1">
      <c r="A115" s="64"/>
      <c r="B115" s="70"/>
      <c r="C115" s="71"/>
      <c r="D115" s="71"/>
      <c r="E115" s="71"/>
      <c r="F115" s="81" t="s">
        <v>47</v>
      </c>
      <c r="G115" s="73"/>
      <c r="H115" s="73"/>
      <c r="I115" s="73"/>
      <c r="J115" s="73"/>
      <c r="K115" s="73"/>
      <c r="L115" s="73"/>
      <c r="M115" s="73">
        <f>N115+O115</f>
        <v>3992.58588</v>
      </c>
      <c r="N115" s="73">
        <v>0.0</v>
      </c>
      <c r="O115" s="73">
        <v>3992.58588</v>
      </c>
      <c r="P115" s="73"/>
      <c r="Q115" s="73"/>
      <c r="R115" s="73"/>
      <c r="S115" s="73">
        <v>3980.06635</v>
      </c>
      <c r="T115" s="73">
        <v>0.0</v>
      </c>
      <c r="U115" s="73">
        <v>3980.06635</v>
      </c>
      <c r="V115" s="73"/>
      <c r="W115" s="73"/>
      <c r="X115" s="73"/>
      <c r="Y115" s="73">
        <f>Z115+AA115</f>
        <v>3567.79204</v>
      </c>
      <c r="Z115" s="73">
        <v>0.0</v>
      </c>
      <c r="AA115" s="73">
        <v>3567.79204</v>
      </c>
      <c r="AB115" s="73"/>
      <c r="AC115" s="73"/>
      <c r="AD115" s="73"/>
      <c r="AE115" s="73">
        <f t="shared" ref="AE115:AG115" si="568">M115+S115+Y115</f>
        <v>11540.44427</v>
      </c>
      <c r="AF115" s="73">
        <f t="shared" si="568"/>
        <v>0</v>
      </c>
      <c r="AG115" s="73">
        <f t="shared" si="568"/>
        <v>11540.44427</v>
      </c>
      <c r="AH115" s="73"/>
      <c r="AI115" s="73"/>
      <c r="AJ115" s="73"/>
      <c r="AK115" s="73">
        <v>4047.6022</v>
      </c>
      <c r="AL115" s="73">
        <v>0.0</v>
      </c>
      <c r="AM115" s="73">
        <v>4047.6022</v>
      </c>
      <c r="AN115" s="73"/>
      <c r="AO115" s="73"/>
      <c r="AP115" s="73"/>
      <c r="AQ115" s="73">
        <f t="shared" ref="AQ115:AS115" si="569">AE115+AK115</f>
        <v>15588.04647</v>
      </c>
      <c r="AR115" s="73">
        <f t="shared" si="569"/>
        <v>0</v>
      </c>
      <c r="AS115" s="73">
        <f t="shared" si="569"/>
        <v>15588.04647</v>
      </c>
      <c r="AT115" s="73"/>
      <c r="AU115" s="73"/>
      <c r="AV115" s="73"/>
      <c r="AW115" s="73">
        <f>1670.24859+1238.8353</f>
        <v>2909.08389</v>
      </c>
      <c r="AX115" s="73">
        <v>0.0</v>
      </c>
      <c r="AY115" s="73">
        <f>1670.24859+1238.8353</f>
        <v>2909.08389</v>
      </c>
      <c r="AZ115" s="73"/>
      <c r="BA115" s="73"/>
      <c r="BB115" s="73"/>
      <c r="BC115" s="73">
        <f t="shared" ref="BC115:BE115" si="570">AQ115+AW115</f>
        <v>18497.13036</v>
      </c>
      <c r="BD115" s="73">
        <f t="shared" si="570"/>
        <v>0</v>
      </c>
      <c r="BE115" s="73">
        <f t="shared" si="570"/>
        <v>18497.13036</v>
      </c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3"/>
      <c r="CO115" s="73"/>
      <c r="CP115" s="73"/>
      <c r="CQ115" s="73"/>
      <c r="CR115" s="73"/>
      <c r="CS115" s="73"/>
      <c r="CT115" s="73"/>
      <c r="CU115" s="73"/>
      <c r="CV115" s="73"/>
      <c r="CW115" s="73"/>
      <c r="CX115" s="73"/>
      <c r="CY115" s="73"/>
      <c r="CZ115" s="73"/>
      <c r="DA115" s="73"/>
      <c r="DB115" s="73"/>
      <c r="DC115" s="73"/>
      <c r="DD115" s="73"/>
      <c r="DE115" s="73"/>
      <c r="DF115" s="73"/>
      <c r="DG115" s="73"/>
      <c r="DH115" s="73"/>
      <c r="DI115" s="73"/>
      <c r="DJ115" s="73"/>
      <c r="DK115" s="73"/>
      <c r="DL115" s="73"/>
      <c r="DM115" s="73"/>
      <c r="DN115" s="73"/>
      <c r="DO115" s="73"/>
      <c r="DP115" s="73"/>
      <c r="DQ115" s="73"/>
      <c r="DR115" s="73"/>
      <c r="DS115" s="73"/>
      <c r="DT115" s="73"/>
      <c r="DU115" s="74"/>
      <c r="DV115" s="74"/>
      <c r="DW115" s="72"/>
      <c r="DX115" s="72"/>
      <c r="DY115" s="72"/>
      <c r="DZ115" s="75"/>
      <c r="EA115" s="82" t="s">
        <v>109</v>
      </c>
    </row>
    <row r="116" ht="21.75" customHeight="1">
      <c r="A116" s="64"/>
      <c r="B116" s="70"/>
      <c r="C116" s="71"/>
      <c r="D116" s="71"/>
      <c r="E116" s="71"/>
      <c r="F116" s="81" t="s">
        <v>50</v>
      </c>
      <c r="G116" s="73"/>
      <c r="H116" s="73"/>
      <c r="I116" s="73"/>
      <c r="J116" s="73"/>
      <c r="K116" s="73"/>
      <c r="L116" s="73"/>
      <c r="M116" s="73">
        <v>0.0</v>
      </c>
      <c r="N116" s="73">
        <v>0.0</v>
      </c>
      <c r="O116" s="73">
        <v>0.0</v>
      </c>
      <c r="P116" s="73"/>
      <c r="Q116" s="73"/>
      <c r="R116" s="73"/>
      <c r="S116" s="73">
        <v>-26.066350000000057</v>
      </c>
      <c r="T116" s="73"/>
      <c r="U116" s="73">
        <v>-26.066350000000057</v>
      </c>
      <c r="V116" s="73"/>
      <c r="W116" s="73"/>
      <c r="X116" s="73"/>
      <c r="Y116" s="73">
        <v>0.0</v>
      </c>
      <c r="Z116" s="73">
        <v>0.0</v>
      </c>
      <c r="AA116" s="73">
        <v>0.0</v>
      </c>
      <c r="AB116" s="73"/>
      <c r="AC116" s="73"/>
      <c r="AD116" s="73"/>
      <c r="AE116" s="73">
        <f t="shared" ref="AE116:AG116" si="571">M116+S116+Y116</f>
        <v>-26.06635</v>
      </c>
      <c r="AF116" s="73">
        <f t="shared" si="571"/>
        <v>0</v>
      </c>
      <c r="AG116" s="73">
        <f t="shared" si="571"/>
        <v>-26.06635</v>
      </c>
      <c r="AH116" s="73"/>
      <c r="AI116" s="73"/>
      <c r="AJ116" s="73"/>
      <c r="AK116" s="73">
        <v>-7.133049999999912</v>
      </c>
      <c r="AL116" s="73">
        <v>0.0</v>
      </c>
      <c r="AM116" s="73">
        <v>-7.133049999999912</v>
      </c>
      <c r="AN116" s="73"/>
      <c r="AO116" s="73"/>
      <c r="AP116" s="73"/>
      <c r="AQ116" s="73">
        <f t="shared" ref="AQ116:AS116" si="572">AE116+AK116</f>
        <v>-33.1994</v>
      </c>
      <c r="AR116" s="73">
        <f t="shared" si="572"/>
        <v>0</v>
      </c>
      <c r="AS116" s="73">
        <f t="shared" si="572"/>
        <v>-33.1994</v>
      </c>
      <c r="AT116" s="73"/>
      <c r="AU116" s="73"/>
      <c r="AV116" s="73"/>
      <c r="AW116" s="73"/>
      <c r="AX116" s="73"/>
      <c r="AY116" s="73"/>
      <c r="AZ116" s="73"/>
      <c r="BA116" s="73"/>
      <c r="BB116" s="73"/>
      <c r="BC116" s="73">
        <f t="shared" ref="BC116:BE116" si="573">AQ116+AW116</f>
        <v>-33.1994</v>
      </c>
      <c r="BD116" s="73">
        <f t="shared" si="573"/>
        <v>0</v>
      </c>
      <c r="BE116" s="73">
        <f t="shared" si="573"/>
        <v>-33.1994</v>
      </c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3"/>
      <c r="CO116" s="73"/>
      <c r="CP116" s="73"/>
      <c r="CQ116" s="73"/>
      <c r="CR116" s="73"/>
      <c r="CS116" s="73"/>
      <c r="CT116" s="73"/>
      <c r="CU116" s="73"/>
      <c r="CV116" s="73"/>
      <c r="CW116" s="73"/>
      <c r="CX116" s="73"/>
      <c r="CY116" s="73"/>
      <c r="CZ116" s="73"/>
      <c r="DA116" s="73"/>
      <c r="DB116" s="73"/>
      <c r="DC116" s="73"/>
      <c r="DD116" s="73"/>
      <c r="DE116" s="73"/>
      <c r="DF116" s="73"/>
      <c r="DG116" s="73"/>
      <c r="DH116" s="73"/>
      <c r="DI116" s="73"/>
      <c r="DJ116" s="73"/>
      <c r="DK116" s="73"/>
      <c r="DL116" s="73"/>
      <c r="DM116" s="73"/>
      <c r="DN116" s="73"/>
      <c r="DO116" s="73"/>
      <c r="DP116" s="73"/>
      <c r="DQ116" s="73"/>
      <c r="DR116" s="73"/>
      <c r="DS116" s="73"/>
      <c r="DT116" s="73"/>
      <c r="DU116" s="74"/>
      <c r="DV116" s="74"/>
      <c r="DW116" s="72"/>
      <c r="DX116" s="72"/>
      <c r="DY116" s="72"/>
      <c r="DZ116" s="75"/>
      <c r="EA116" s="82"/>
    </row>
    <row r="117" ht="21.75" customHeight="1">
      <c r="A117" s="64"/>
      <c r="B117" s="70"/>
      <c r="C117" s="71"/>
      <c r="D117" s="71"/>
      <c r="E117" s="71"/>
      <c r="F117" s="78" t="s">
        <v>51</v>
      </c>
      <c r="G117" s="73"/>
      <c r="H117" s="73"/>
      <c r="I117" s="73"/>
      <c r="J117" s="73"/>
      <c r="K117" s="73"/>
      <c r="L117" s="73"/>
      <c r="M117" s="79">
        <f t="shared" ref="M117:O117" si="574">M118+M119</f>
        <v>242.6363</v>
      </c>
      <c r="N117" s="79">
        <f t="shared" si="574"/>
        <v>0</v>
      </c>
      <c r="O117" s="79">
        <f t="shared" si="574"/>
        <v>242.6363</v>
      </c>
      <c r="P117" s="79"/>
      <c r="Q117" s="79"/>
      <c r="R117" s="79"/>
      <c r="S117" s="79">
        <f t="shared" ref="S117:U117" si="575">S118+S119</f>
        <v>12825.10747</v>
      </c>
      <c r="T117" s="79">
        <f t="shared" si="575"/>
        <v>0</v>
      </c>
      <c r="U117" s="79">
        <f t="shared" si="575"/>
        <v>12825.10747</v>
      </c>
      <c r="V117" s="79"/>
      <c r="W117" s="79"/>
      <c r="X117" s="79"/>
      <c r="Y117" s="79">
        <f t="shared" ref="Y117:AA117" si="576">Y118+Y119</f>
        <v>1838.37531</v>
      </c>
      <c r="Z117" s="79">
        <f t="shared" si="576"/>
        <v>0</v>
      </c>
      <c r="AA117" s="79">
        <f t="shared" si="576"/>
        <v>1838.37531</v>
      </c>
      <c r="AB117" s="79"/>
      <c r="AC117" s="79"/>
      <c r="AD117" s="79"/>
      <c r="AE117" s="79">
        <f t="shared" ref="AE117:AG117" si="577">M117+S117+Y117</f>
        <v>14906.11908</v>
      </c>
      <c r="AF117" s="79">
        <f t="shared" si="577"/>
        <v>0</v>
      </c>
      <c r="AG117" s="79">
        <f t="shared" si="577"/>
        <v>14906.11908</v>
      </c>
      <c r="AH117" s="73"/>
      <c r="AI117" s="73"/>
      <c r="AJ117" s="73"/>
      <c r="AK117" s="79">
        <f t="shared" ref="AK117:AM117" si="578">AK118+AK119</f>
        <v>0</v>
      </c>
      <c r="AL117" s="79">
        <f t="shared" si="578"/>
        <v>0</v>
      </c>
      <c r="AM117" s="79">
        <f t="shared" si="578"/>
        <v>0</v>
      </c>
      <c r="AN117" s="73"/>
      <c r="AO117" s="73"/>
      <c r="AP117" s="73"/>
      <c r="AQ117" s="79">
        <f t="shared" ref="AQ117:AS117" si="579">AE117+AK117</f>
        <v>14906.11908</v>
      </c>
      <c r="AR117" s="79">
        <f t="shared" si="579"/>
        <v>0</v>
      </c>
      <c r="AS117" s="79">
        <f t="shared" si="579"/>
        <v>14906.11908</v>
      </c>
      <c r="AT117" s="73"/>
      <c r="AU117" s="73"/>
      <c r="AV117" s="73"/>
      <c r="AW117" s="79">
        <v>0.0</v>
      </c>
      <c r="AX117" s="79">
        <v>0.0</v>
      </c>
      <c r="AY117" s="79">
        <v>0.0</v>
      </c>
      <c r="AZ117" s="73"/>
      <c r="BA117" s="73"/>
      <c r="BB117" s="73"/>
      <c r="BC117" s="79">
        <f t="shared" ref="BC117:BE117" si="580">AQ117+AW117</f>
        <v>14906.11908</v>
      </c>
      <c r="BD117" s="79">
        <f t="shared" si="580"/>
        <v>0</v>
      </c>
      <c r="BE117" s="79">
        <f t="shared" si="580"/>
        <v>14906.11908</v>
      </c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3"/>
      <c r="CO117" s="73"/>
      <c r="CP117" s="73"/>
      <c r="CQ117" s="73"/>
      <c r="CR117" s="73"/>
      <c r="CS117" s="73"/>
      <c r="CT117" s="73"/>
      <c r="CU117" s="73"/>
      <c r="CV117" s="73"/>
      <c r="CW117" s="73"/>
      <c r="CX117" s="73"/>
      <c r="CY117" s="73"/>
      <c r="CZ117" s="73"/>
      <c r="DA117" s="73"/>
      <c r="DB117" s="73"/>
      <c r="DC117" s="73"/>
      <c r="DD117" s="73"/>
      <c r="DE117" s="73"/>
      <c r="DF117" s="73"/>
      <c r="DG117" s="73"/>
      <c r="DH117" s="73"/>
      <c r="DI117" s="73"/>
      <c r="DJ117" s="73"/>
      <c r="DK117" s="73"/>
      <c r="DL117" s="73"/>
      <c r="DM117" s="73"/>
      <c r="DN117" s="73"/>
      <c r="DO117" s="73"/>
      <c r="DP117" s="73"/>
      <c r="DQ117" s="73"/>
      <c r="DR117" s="73"/>
      <c r="DS117" s="73"/>
      <c r="DT117" s="73"/>
      <c r="DU117" s="74"/>
      <c r="DV117" s="74"/>
      <c r="DW117" s="72"/>
      <c r="DX117" s="72"/>
      <c r="DY117" s="72"/>
      <c r="DZ117" s="75"/>
      <c r="EA117" s="76"/>
    </row>
    <row r="118" ht="21.75" customHeight="1">
      <c r="A118" s="64"/>
      <c r="B118" s="70"/>
      <c r="C118" s="71"/>
      <c r="D118" s="71"/>
      <c r="E118" s="71"/>
      <c r="F118" s="81" t="s">
        <v>47</v>
      </c>
      <c r="G118" s="73"/>
      <c r="H118" s="73"/>
      <c r="I118" s="73"/>
      <c r="J118" s="73"/>
      <c r="K118" s="73"/>
      <c r="L118" s="73"/>
      <c r="M118" s="73">
        <v>0.0</v>
      </c>
      <c r="N118" s="73">
        <v>0.0</v>
      </c>
      <c r="O118" s="73">
        <v>0.0</v>
      </c>
      <c r="P118" s="73"/>
      <c r="Q118" s="73"/>
      <c r="R118" s="73"/>
      <c r="S118" s="73">
        <v>0.0</v>
      </c>
      <c r="T118" s="73">
        <v>0.0</v>
      </c>
      <c r="U118" s="73">
        <v>0.0</v>
      </c>
      <c r="V118" s="73"/>
      <c r="W118" s="73"/>
      <c r="X118" s="73"/>
      <c r="Y118" s="73">
        <v>0.0</v>
      </c>
      <c r="Z118" s="73">
        <v>0.0</v>
      </c>
      <c r="AA118" s="73">
        <v>0.0</v>
      </c>
      <c r="AB118" s="73"/>
      <c r="AC118" s="73"/>
      <c r="AD118" s="73"/>
      <c r="AE118" s="73">
        <f t="shared" ref="AE118:AG118" si="581">M118+S118+Y118</f>
        <v>0</v>
      </c>
      <c r="AF118" s="73">
        <f t="shared" si="581"/>
        <v>0</v>
      </c>
      <c r="AG118" s="73">
        <f t="shared" si="581"/>
        <v>0</v>
      </c>
      <c r="AH118" s="73"/>
      <c r="AI118" s="73"/>
      <c r="AJ118" s="73"/>
      <c r="AK118" s="73">
        <v>0.0</v>
      </c>
      <c r="AL118" s="73">
        <v>0.0</v>
      </c>
      <c r="AM118" s="73">
        <v>0.0</v>
      </c>
      <c r="AN118" s="73"/>
      <c r="AO118" s="73"/>
      <c r="AP118" s="73"/>
      <c r="AQ118" s="73">
        <f t="shared" ref="AQ118:AS118" si="582">AE118+AK118</f>
        <v>0</v>
      </c>
      <c r="AR118" s="73">
        <f t="shared" si="582"/>
        <v>0</v>
      </c>
      <c r="AS118" s="73">
        <f t="shared" si="582"/>
        <v>0</v>
      </c>
      <c r="AT118" s="73"/>
      <c r="AU118" s="73"/>
      <c r="AV118" s="73"/>
      <c r="AW118" s="73">
        <v>0.0</v>
      </c>
      <c r="AX118" s="73">
        <v>0.0</v>
      </c>
      <c r="AY118" s="73">
        <v>0.0</v>
      </c>
      <c r="AZ118" s="73"/>
      <c r="BA118" s="73"/>
      <c r="BB118" s="73"/>
      <c r="BC118" s="73">
        <f t="shared" ref="BC118:BE118" si="583">AQ118+AW118</f>
        <v>0</v>
      </c>
      <c r="BD118" s="73">
        <f t="shared" si="583"/>
        <v>0</v>
      </c>
      <c r="BE118" s="73">
        <f t="shared" si="583"/>
        <v>0</v>
      </c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3"/>
      <c r="CO118" s="73"/>
      <c r="CP118" s="73"/>
      <c r="CQ118" s="73"/>
      <c r="CR118" s="73"/>
      <c r="CS118" s="73"/>
      <c r="CT118" s="73"/>
      <c r="CU118" s="73"/>
      <c r="CV118" s="73"/>
      <c r="CW118" s="73"/>
      <c r="CX118" s="73"/>
      <c r="CY118" s="73"/>
      <c r="CZ118" s="73"/>
      <c r="DA118" s="73"/>
      <c r="DB118" s="73"/>
      <c r="DC118" s="73"/>
      <c r="DD118" s="73"/>
      <c r="DE118" s="73"/>
      <c r="DF118" s="73"/>
      <c r="DG118" s="73"/>
      <c r="DH118" s="73"/>
      <c r="DI118" s="73"/>
      <c r="DJ118" s="73"/>
      <c r="DK118" s="73"/>
      <c r="DL118" s="73"/>
      <c r="DM118" s="73"/>
      <c r="DN118" s="73"/>
      <c r="DO118" s="73"/>
      <c r="DP118" s="73"/>
      <c r="DQ118" s="73"/>
      <c r="DR118" s="73"/>
      <c r="DS118" s="73"/>
      <c r="DT118" s="73"/>
      <c r="DU118" s="74"/>
      <c r="DV118" s="74"/>
      <c r="DW118" s="72"/>
      <c r="DX118" s="72"/>
      <c r="DY118" s="72"/>
      <c r="DZ118" s="75"/>
      <c r="EA118" s="76"/>
    </row>
    <row r="119" ht="21.75" customHeight="1">
      <c r="A119" s="64"/>
      <c r="B119" s="70"/>
      <c r="C119" s="71"/>
      <c r="D119" s="71"/>
      <c r="E119" s="71"/>
      <c r="F119" s="81" t="s">
        <v>52</v>
      </c>
      <c r="G119" s="73"/>
      <c r="H119" s="73"/>
      <c r="I119" s="73"/>
      <c r="J119" s="73"/>
      <c r="K119" s="73"/>
      <c r="L119" s="73"/>
      <c r="M119" s="73">
        <f t="shared" ref="M119:M121" si="587">N119+O119</f>
        <v>242.6363</v>
      </c>
      <c r="N119" s="73">
        <v>0.0</v>
      </c>
      <c r="O119" s="73">
        <v>242.6363</v>
      </c>
      <c r="P119" s="73"/>
      <c r="Q119" s="73"/>
      <c r="R119" s="73"/>
      <c r="S119" s="73">
        <f t="shared" ref="S119:S121" si="588">T119+U119</f>
        <v>12825.10747</v>
      </c>
      <c r="T119" s="73">
        <v>0.0</v>
      </c>
      <c r="U119" s="73">
        <v>12825.10747</v>
      </c>
      <c r="V119" s="73"/>
      <c r="W119" s="73"/>
      <c r="X119" s="73"/>
      <c r="Y119" s="73">
        <f t="shared" ref="Y119:Y121" si="589">Z119+AA119</f>
        <v>1838.37531</v>
      </c>
      <c r="Z119" s="73">
        <v>0.0</v>
      </c>
      <c r="AA119" s="73">
        <v>1838.37531</v>
      </c>
      <c r="AB119" s="73"/>
      <c r="AC119" s="73"/>
      <c r="AD119" s="73"/>
      <c r="AE119" s="73">
        <f t="shared" ref="AE119:AG119" si="584">M119+S119+Y119</f>
        <v>14906.11908</v>
      </c>
      <c r="AF119" s="73">
        <f t="shared" si="584"/>
        <v>0</v>
      </c>
      <c r="AG119" s="73">
        <f t="shared" si="584"/>
        <v>14906.11908</v>
      </c>
      <c r="AH119" s="73"/>
      <c r="AI119" s="73"/>
      <c r="AJ119" s="73"/>
      <c r="AK119" s="73">
        <f t="shared" ref="AK119:AK121" si="591">AL119+AM119</f>
        <v>0</v>
      </c>
      <c r="AL119" s="73">
        <v>0.0</v>
      </c>
      <c r="AM119" s="73">
        <v>0.0</v>
      </c>
      <c r="AN119" s="73"/>
      <c r="AO119" s="73"/>
      <c r="AP119" s="73"/>
      <c r="AQ119" s="73">
        <f t="shared" ref="AQ119:AS119" si="585">AE119+AK119</f>
        <v>14906.11908</v>
      </c>
      <c r="AR119" s="73">
        <f t="shared" si="585"/>
        <v>0</v>
      </c>
      <c r="AS119" s="73">
        <f t="shared" si="585"/>
        <v>14906.11908</v>
      </c>
      <c r="AT119" s="73"/>
      <c r="AU119" s="73"/>
      <c r="AV119" s="73"/>
      <c r="AW119" s="73">
        <v>0.0</v>
      </c>
      <c r="AX119" s="73">
        <v>0.0</v>
      </c>
      <c r="AY119" s="73">
        <v>0.0</v>
      </c>
      <c r="AZ119" s="73"/>
      <c r="BA119" s="73"/>
      <c r="BB119" s="73"/>
      <c r="BC119" s="73">
        <f t="shared" ref="BC119:BE119" si="586">AQ119+AW119</f>
        <v>14906.11908</v>
      </c>
      <c r="BD119" s="73">
        <f t="shared" si="586"/>
        <v>0</v>
      </c>
      <c r="BE119" s="73">
        <f t="shared" si="586"/>
        <v>14906.11908</v>
      </c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3"/>
      <c r="CO119" s="73"/>
      <c r="CP119" s="73"/>
      <c r="CQ119" s="73"/>
      <c r="CR119" s="73"/>
      <c r="CS119" s="73"/>
      <c r="CT119" s="73"/>
      <c r="CU119" s="73"/>
      <c r="CV119" s="73"/>
      <c r="CW119" s="73"/>
      <c r="CX119" s="73"/>
      <c r="CY119" s="73"/>
      <c r="CZ119" s="73"/>
      <c r="DA119" s="73"/>
      <c r="DB119" s="73"/>
      <c r="DC119" s="73"/>
      <c r="DD119" s="73"/>
      <c r="DE119" s="73"/>
      <c r="DF119" s="73"/>
      <c r="DG119" s="73"/>
      <c r="DH119" s="73"/>
      <c r="DI119" s="73"/>
      <c r="DJ119" s="73"/>
      <c r="DK119" s="73"/>
      <c r="DL119" s="73"/>
      <c r="DM119" s="73"/>
      <c r="DN119" s="73"/>
      <c r="DO119" s="73"/>
      <c r="DP119" s="73"/>
      <c r="DQ119" s="73"/>
      <c r="DR119" s="73"/>
      <c r="DS119" s="73"/>
      <c r="DT119" s="73"/>
      <c r="DU119" s="74"/>
      <c r="DV119" s="74"/>
      <c r="DW119" s="72"/>
      <c r="DX119" s="72"/>
      <c r="DY119" s="72"/>
      <c r="DZ119" s="38"/>
      <c r="EA119" s="91" t="s">
        <v>110</v>
      </c>
    </row>
    <row r="120" ht="21.75" customHeight="1">
      <c r="A120" s="64"/>
      <c r="B120" s="70"/>
      <c r="C120" s="71"/>
      <c r="D120" s="71"/>
      <c r="E120" s="71"/>
      <c r="F120" s="78" t="s">
        <v>53</v>
      </c>
      <c r="G120" s="73"/>
      <c r="H120" s="73"/>
      <c r="I120" s="73"/>
      <c r="J120" s="73"/>
      <c r="K120" s="73"/>
      <c r="L120" s="73"/>
      <c r="M120" s="79">
        <f t="shared" si="587"/>
        <v>0</v>
      </c>
      <c r="N120" s="79">
        <v>0.0</v>
      </c>
      <c r="O120" s="79">
        <v>0.0</v>
      </c>
      <c r="P120" s="79"/>
      <c r="Q120" s="79"/>
      <c r="R120" s="79"/>
      <c r="S120" s="79">
        <f t="shared" si="588"/>
        <v>0</v>
      </c>
      <c r="T120" s="79">
        <v>0.0</v>
      </c>
      <c r="U120" s="79">
        <v>0.0</v>
      </c>
      <c r="V120" s="79"/>
      <c r="W120" s="79"/>
      <c r="X120" s="79"/>
      <c r="Y120" s="79">
        <f t="shared" si="589"/>
        <v>265331.5068</v>
      </c>
      <c r="Z120" s="79">
        <v>0.0</v>
      </c>
      <c r="AA120" s="79">
        <v>265331.50677</v>
      </c>
      <c r="AB120" s="79"/>
      <c r="AC120" s="79"/>
      <c r="AD120" s="79"/>
      <c r="AE120" s="79">
        <f t="shared" ref="AE120:AG120" si="590">M120+S120+Y120</f>
        <v>265331.5068</v>
      </c>
      <c r="AF120" s="79">
        <f t="shared" si="590"/>
        <v>0</v>
      </c>
      <c r="AG120" s="79">
        <f t="shared" si="590"/>
        <v>265331.5068</v>
      </c>
      <c r="AH120" s="73"/>
      <c r="AI120" s="73"/>
      <c r="AJ120" s="73"/>
      <c r="AK120" s="79">
        <f t="shared" si="591"/>
        <v>163606.5912</v>
      </c>
      <c r="AL120" s="79">
        <v>0.0</v>
      </c>
      <c r="AM120" s="79">
        <v>163606.59116</v>
      </c>
      <c r="AN120" s="73"/>
      <c r="AO120" s="73"/>
      <c r="AP120" s="73"/>
      <c r="AQ120" s="79">
        <f t="shared" ref="AQ120:AS120" si="592">AE120+AK120</f>
        <v>428938.0979</v>
      </c>
      <c r="AR120" s="79">
        <f t="shared" si="592"/>
        <v>0</v>
      </c>
      <c r="AS120" s="79">
        <f t="shared" si="592"/>
        <v>428938.0979</v>
      </c>
      <c r="AT120" s="73"/>
      <c r="AU120" s="73"/>
      <c r="AV120" s="73"/>
      <c r="AW120" s="79">
        <v>0.0</v>
      </c>
      <c r="AX120" s="79">
        <v>0.0</v>
      </c>
      <c r="AY120" s="79">
        <v>0.0</v>
      </c>
      <c r="AZ120" s="73"/>
      <c r="BA120" s="73"/>
      <c r="BB120" s="73"/>
      <c r="BC120" s="79">
        <f t="shared" ref="BC120:BE120" si="593">AQ120+AW120</f>
        <v>428938.0979</v>
      </c>
      <c r="BD120" s="79">
        <f t="shared" si="593"/>
        <v>0</v>
      </c>
      <c r="BE120" s="79">
        <f t="shared" si="593"/>
        <v>428938.0979</v>
      </c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3"/>
      <c r="CO120" s="73"/>
      <c r="CP120" s="73"/>
      <c r="CQ120" s="73"/>
      <c r="CR120" s="73"/>
      <c r="CS120" s="73"/>
      <c r="CT120" s="73"/>
      <c r="CU120" s="73"/>
      <c r="CV120" s="73"/>
      <c r="CW120" s="73"/>
      <c r="CX120" s="73"/>
      <c r="CY120" s="73"/>
      <c r="CZ120" s="73"/>
      <c r="DA120" s="73"/>
      <c r="DB120" s="73"/>
      <c r="DC120" s="73"/>
      <c r="DD120" s="73"/>
      <c r="DE120" s="73"/>
      <c r="DF120" s="73"/>
      <c r="DG120" s="73"/>
      <c r="DH120" s="73"/>
      <c r="DI120" s="73"/>
      <c r="DJ120" s="73"/>
      <c r="DK120" s="73"/>
      <c r="DL120" s="73"/>
      <c r="DM120" s="73"/>
      <c r="DN120" s="73"/>
      <c r="DO120" s="73"/>
      <c r="DP120" s="73"/>
      <c r="DQ120" s="73"/>
      <c r="DR120" s="73"/>
      <c r="DS120" s="73"/>
      <c r="DT120" s="73"/>
      <c r="DU120" s="74"/>
      <c r="DV120" s="74"/>
      <c r="DW120" s="72"/>
      <c r="DX120" s="72"/>
      <c r="DY120" s="72"/>
      <c r="DZ120" s="38"/>
      <c r="EA120" s="76" t="s">
        <v>111</v>
      </c>
    </row>
    <row r="121" ht="21.75" customHeight="1">
      <c r="A121" s="64"/>
      <c r="B121" s="92"/>
      <c r="C121" s="72"/>
      <c r="D121" s="71"/>
      <c r="E121" s="71"/>
      <c r="F121" s="78" t="s">
        <v>55</v>
      </c>
      <c r="G121" s="73"/>
      <c r="H121" s="73"/>
      <c r="I121" s="73"/>
      <c r="J121" s="73"/>
      <c r="K121" s="73"/>
      <c r="L121" s="73"/>
      <c r="M121" s="79">
        <f t="shared" si="587"/>
        <v>0</v>
      </c>
      <c r="N121" s="79">
        <v>0.0</v>
      </c>
      <c r="O121" s="79">
        <v>0.0</v>
      </c>
      <c r="P121" s="79"/>
      <c r="Q121" s="79"/>
      <c r="R121" s="79"/>
      <c r="S121" s="79">
        <f t="shared" si="588"/>
        <v>0</v>
      </c>
      <c r="T121" s="79">
        <v>0.0</v>
      </c>
      <c r="U121" s="79">
        <v>0.0</v>
      </c>
      <c r="V121" s="79"/>
      <c r="W121" s="79"/>
      <c r="X121" s="79"/>
      <c r="Y121" s="79">
        <f t="shared" si="589"/>
        <v>0</v>
      </c>
      <c r="Z121" s="79">
        <v>0.0</v>
      </c>
      <c r="AA121" s="79">
        <v>0.0</v>
      </c>
      <c r="AB121" s="79"/>
      <c r="AC121" s="79"/>
      <c r="AD121" s="79"/>
      <c r="AE121" s="79">
        <f t="shared" ref="AE121:AG121" si="594">M121+S121+Y121</f>
        <v>0</v>
      </c>
      <c r="AF121" s="79">
        <f t="shared" si="594"/>
        <v>0</v>
      </c>
      <c r="AG121" s="79">
        <f t="shared" si="594"/>
        <v>0</v>
      </c>
      <c r="AH121" s="73"/>
      <c r="AI121" s="73"/>
      <c r="AJ121" s="73"/>
      <c r="AK121" s="79">
        <f t="shared" si="591"/>
        <v>0</v>
      </c>
      <c r="AL121" s="79">
        <v>0.0</v>
      </c>
      <c r="AM121" s="79">
        <v>0.0</v>
      </c>
      <c r="AN121" s="73"/>
      <c r="AO121" s="73"/>
      <c r="AP121" s="73"/>
      <c r="AQ121" s="79">
        <f t="shared" ref="AQ121:AS121" si="595">AE121+AK121</f>
        <v>0</v>
      </c>
      <c r="AR121" s="79">
        <f t="shared" si="595"/>
        <v>0</v>
      </c>
      <c r="AS121" s="79">
        <f t="shared" si="595"/>
        <v>0</v>
      </c>
      <c r="AT121" s="73"/>
      <c r="AU121" s="73"/>
      <c r="AV121" s="73"/>
      <c r="AW121" s="79">
        <f>AX121+AY121</f>
        <v>11052.01903</v>
      </c>
      <c r="AX121" s="79">
        <v>0.0</v>
      </c>
      <c r="AY121" s="79">
        <v>11052.01903</v>
      </c>
      <c r="AZ121" s="73"/>
      <c r="BA121" s="73"/>
      <c r="BB121" s="73"/>
      <c r="BC121" s="79">
        <f t="shared" ref="BC121:BE121" si="596">AQ121+AW121</f>
        <v>11052.01903</v>
      </c>
      <c r="BD121" s="79">
        <f t="shared" si="596"/>
        <v>0</v>
      </c>
      <c r="BE121" s="79">
        <f t="shared" si="596"/>
        <v>11052.01903</v>
      </c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3"/>
      <c r="CO121" s="73"/>
      <c r="CP121" s="73"/>
      <c r="CQ121" s="73"/>
      <c r="CR121" s="73"/>
      <c r="CS121" s="73"/>
      <c r="CT121" s="73"/>
      <c r="CU121" s="73"/>
      <c r="CV121" s="73"/>
      <c r="CW121" s="73"/>
      <c r="CX121" s="73"/>
      <c r="CY121" s="73"/>
      <c r="CZ121" s="73"/>
      <c r="DA121" s="73"/>
      <c r="DB121" s="73"/>
      <c r="DC121" s="73"/>
      <c r="DD121" s="73"/>
      <c r="DE121" s="73"/>
      <c r="DF121" s="73"/>
      <c r="DG121" s="73"/>
      <c r="DH121" s="73"/>
      <c r="DI121" s="73"/>
      <c r="DJ121" s="73"/>
      <c r="DK121" s="73"/>
      <c r="DL121" s="73"/>
      <c r="DM121" s="73"/>
      <c r="DN121" s="73"/>
      <c r="DO121" s="73"/>
      <c r="DP121" s="73"/>
      <c r="DQ121" s="73"/>
      <c r="DR121" s="73"/>
      <c r="DS121" s="73"/>
      <c r="DT121" s="73"/>
      <c r="DU121" s="74"/>
      <c r="DV121" s="74"/>
      <c r="DW121" s="72"/>
      <c r="DX121" s="72"/>
      <c r="DY121" s="72"/>
      <c r="DZ121" s="75"/>
      <c r="EA121" s="76" t="s">
        <v>112</v>
      </c>
    </row>
    <row r="122" ht="21.75" customHeight="1">
      <c r="A122" s="64"/>
      <c r="B122" s="70" t="s">
        <v>40</v>
      </c>
      <c r="C122" s="71" t="s">
        <v>113</v>
      </c>
      <c r="D122" s="71" t="s">
        <v>41</v>
      </c>
      <c r="E122" s="71" t="s">
        <v>83</v>
      </c>
      <c r="F122" s="72" t="s">
        <v>114</v>
      </c>
      <c r="G122" s="73">
        <v>450325.0</v>
      </c>
      <c r="H122" s="73">
        <v>0.0</v>
      </c>
      <c r="I122" s="73">
        <v>450325.0</v>
      </c>
      <c r="J122" s="73">
        <f t="shared" ref="J122:L122" si="597">J123+J125+J128</f>
        <v>0</v>
      </c>
      <c r="K122" s="73">
        <f t="shared" si="597"/>
        <v>0</v>
      </c>
      <c r="L122" s="73">
        <f t="shared" si="597"/>
        <v>0</v>
      </c>
      <c r="M122" s="73">
        <f t="shared" ref="M122:O122" si="598">M123+M125+M128+M131+M132</f>
        <v>8428.21285</v>
      </c>
      <c r="N122" s="73">
        <f t="shared" si="598"/>
        <v>0</v>
      </c>
      <c r="O122" s="73">
        <f t="shared" si="598"/>
        <v>8428.21285</v>
      </c>
      <c r="P122" s="73">
        <f t="shared" ref="P122:R122" si="599">P123+P125+P128</f>
        <v>0</v>
      </c>
      <c r="Q122" s="73">
        <f t="shared" si="599"/>
        <v>0</v>
      </c>
      <c r="R122" s="73">
        <f t="shared" si="599"/>
        <v>0</v>
      </c>
      <c r="S122" s="73">
        <f t="shared" ref="S122:U122" si="600">S123+S125+S128+S131+S132</f>
        <v>100143</v>
      </c>
      <c r="T122" s="73">
        <f t="shared" si="600"/>
        <v>0</v>
      </c>
      <c r="U122" s="73">
        <f t="shared" si="600"/>
        <v>100143</v>
      </c>
      <c r="V122" s="73">
        <v>572.0</v>
      </c>
      <c r="W122" s="73">
        <f>W123+W125+W128</f>
        <v>0</v>
      </c>
      <c r="X122" s="73">
        <v>572.0</v>
      </c>
      <c r="Y122" s="73">
        <f t="shared" ref="Y122:AA122" si="601">Y123+Y125+Y128+Y131+Y132</f>
        <v>6416.3</v>
      </c>
      <c r="Z122" s="73">
        <f t="shared" si="601"/>
        <v>0</v>
      </c>
      <c r="AA122" s="73">
        <f t="shared" si="601"/>
        <v>6416.3</v>
      </c>
      <c r="AB122" s="73">
        <f t="shared" ref="AB122:AG122" si="602">J122+P122+V122</f>
        <v>572</v>
      </c>
      <c r="AC122" s="73">
        <f t="shared" si="602"/>
        <v>0</v>
      </c>
      <c r="AD122" s="73">
        <f t="shared" si="602"/>
        <v>572</v>
      </c>
      <c r="AE122" s="73">
        <f t="shared" si="602"/>
        <v>114987.5129</v>
      </c>
      <c r="AF122" s="73">
        <f t="shared" si="602"/>
        <v>0</v>
      </c>
      <c r="AG122" s="73">
        <f t="shared" si="602"/>
        <v>114987.5129</v>
      </c>
      <c r="AH122" s="73">
        <v>1940.0</v>
      </c>
      <c r="AI122" s="73">
        <v>0.0</v>
      </c>
      <c r="AJ122" s="73">
        <v>19401.0</v>
      </c>
      <c r="AK122" s="73">
        <f t="shared" ref="AK122:AM122" si="603">AK123+AK125+AK128+AK131+AK132</f>
        <v>9077.39006</v>
      </c>
      <c r="AL122" s="73">
        <f t="shared" si="603"/>
        <v>0</v>
      </c>
      <c r="AM122" s="73">
        <f t="shared" si="603"/>
        <v>9077.39006</v>
      </c>
      <c r="AN122" s="73">
        <f t="shared" ref="AN122:AS122" si="604">AB122+AH122</f>
        <v>2512</v>
      </c>
      <c r="AO122" s="73">
        <f t="shared" si="604"/>
        <v>0</v>
      </c>
      <c r="AP122" s="73">
        <f t="shared" si="604"/>
        <v>19973</v>
      </c>
      <c r="AQ122" s="73">
        <f t="shared" si="604"/>
        <v>124064.9029</v>
      </c>
      <c r="AR122" s="73">
        <f t="shared" si="604"/>
        <v>0</v>
      </c>
      <c r="AS122" s="73">
        <f t="shared" si="604"/>
        <v>124064.9029</v>
      </c>
      <c r="AT122" s="73">
        <v>2910.0</v>
      </c>
      <c r="AU122" s="73">
        <v>0.0</v>
      </c>
      <c r="AV122" s="73">
        <v>2910.0</v>
      </c>
      <c r="AW122" s="73">
        <f t="shared" ref="AW122:AY122" si="605">AW123+AW125+AW128+AW131+AW132</f>
        <v>9403.36105</v>
      </c>
      <c r="AX122" s="73">
        <f t="shared" si="605"/>
        <v>0</v>
      </c>
      <c r="AY122" s="73">
        <f t="shared" si="605"/>
        <v>9403.36105</v>
      </c>
      <c r="AZ122" s="73">
        <f t="shared" ref="AZ122:BE122" si="606">AN122+AT122</f>
        <v>5422</v>
      </c>
      <c r="BA122" s="73">
        <f t="shared" si="606"/>
        <v>0</v>
      </c>
      <c r="BB122" s="73">
        <f t="shared" si="606"/>
        <v>22883</v>
      </c>
      <c r="BC122" s="73">
        <f t="shared" si="606"/>
        <v>133468.264</v>
      </c>
      <c r="BD122" s="73">
        <f t="shared" si="606"/>
        <v>0</v>
      </c>
      <c r="BE122" s="73">
        <f t="shared" si="606"/>
        <v>133468.264</v>
      </c>
      <c r="BF122" s="73" t="str">
        <f t="shared" ref="BF122:DY122" si="607">BF130+#REF!+BF131+BF132</f>
        <v>#REF!</v>
      </c>
      <c r="BG122" s="73" t="str">
        <f t="shared" si="607"/>
        <v>#REF!</v>
      </c>
      <c r="BH122" s="73" t="str">
        <f t="shared" si="607"/>
        <v>#REF!</v>
      </c>
      <c r="BI122" s="73" t="str">
        <f t="shared" si="607"/>
        <v>#REF!</v>
      </c>
      <c r="BJ122" s="73" t="str">
        <f t="shared" si="607"/>
        <v>#REF!</v>
      </c>
      <c r="BK122" s="73" t="str">
        <f t="shared" si="607"/>
        <v>#REF!</v>
      </c>
      <c r="BL122" s="73" t="str">
        <f t="shared" si="607"/>
        <v>#REF!</v>
      </c>
      <c r="BM122" s="73" t="str">
        <f t="shared" si="607"/>
        <v>#REF!</v>
      </c>
      <c r="BN122" s="73" t="str">
        <f t="shared" si="607"/>
        <v>#REF!</v>
      </c>
      <c r="BO122" s="73" t="str">
        <f t="shared" si="607"/>
        <v>#REF!</v>
      </c>
      <c r="BP122" s="73" t="str">
        <f t="shared" si="607"/>
        <v>#REF!</v>
      </c>
      <c r="BQ122" s="73" t="str">
        <f t="shared" si="607"/>
        <v>#REF!</v>
      </c>
      <c r="BR122" s="73" t="str">
        <f t="shared" si="607"/>
        <v>#REF!</v>
      </c>
      <c r="BS122" s="73" t="str">
        <f t="shared" si="607"/>
        <v>#REF!</v>
      </c>
      <c r="BT122" s="73" t="str">
        <f t="shared" si="607"/>
        <v>#REF!</v>
      </c>
      <c r="BU122" s="73" t="str">
        <f t="shared" si="607"/>
        <v>#REF!</v>
      </c>
      <c r="BV122" s="73" t="str">
        <f t="shared" si="607"/>
        <v>#REF!</v>
      </c>
      <c r="BW122" s="73" t="str">
        <f t="shared" si="607"/>
        <v>#REF!</v>
      </c>
      <c r="BX122" s="73" t="str">
        <f t="shared" si="607"/>
        <v>#REF!</v>
      </c>
      <c r="BY122" s="73" t="str">
        <f t="shared" si="607"/>
        <v>#REF!</v>
      </c>
      <c r="BZ122" s="73" t="str">
        <f t="shared" si="607"/>
        <v>#REF!</v>
      </c>
      <c r="CA122" s="73" t="str">
        <f t="shared" si="607"/>
        <v>#REF!</v>
      </c>
      <c r="CB122" s="73" t="str">
        <f t="shared" si="607"/>
        <v>#REF!</v>
      </c>
      <c r="CC122" s="73" t="str">
        <f t="shared" si="607"/>
        <v>#REF!</v>
      </c>
      <c r="CD122" s="73" t="str">
        <f t="shared" si="607"/>
        <v>#REF!</v>
      </c>
      <c r="CE122" s="73" t="str">
        <f t="shared" si="607"/>
        <v>#REF!</v>
      </c>
      <c r="CF122" s="73" t="str">
        <f t="shared" si="607"/>
        <v>#REF!</v>
      </c>
      <c r="CG122" s="73" t="str">
        <f t="shared" si="607"/>
        <v>#REF!</v>
      </c>
      <c r="CH122" s="73" t="str">
        <f t="shared" si="607"/>
        <v>#REF!</v>
      </c>
      <c r="CI122" s="73" t="str">
        <f t="shared" si="607"/>
        <v>#REF!</v>
      </c>
      <c r="CJ122" s="73" t="str">
        <f t="shared" si="607"/>
        <v>#REF!</v>
      </c>
      <c r="CK122" s="73" t="str">
        <f t="shared" si="607"/>
        <v>#REF!</v>
      </c>
      <c r="CL122" s="73" t="str">
        <f t="shared" si="607"/>
        <v>#REF!</v>
      </c>
      <c r="CM122" s="73" t="str">
        <f t="shared" si="607"/>
        <v>#REF!</v>
      </c>
      <c r="CN122" s="73" t="str">
        <f t="shared" si="607"/>
        <v>#REF!</v>
      </c>
      <c r="CO122" s="73" t="str">
        <f t="shared" si="607"/>
        <v>#REF!</v>
      </c>
      <c r="CP122" s="73" t="str">
        <f t="shared" si="607"/>
        <v>#REF!</v>
      </c>
      <c r="CQ122" s="73" t="str">
        <f t="shared" si="607"/>
        <v>#REF!</v>
      </c>
      <c r="CR122" s="73" t="str">
        <f t="shared" si="607"/>
        <v>#REF!</v>
      </c>
      <c r="CS122" s="73" t="str">
        <f t="shared" si="607"/>
        <v>#REF!</v>
      </c>
      <c r="CT122" s="73" t="str">
        <f t="shared" si="607"/>
        <v>#REF!</v>
      </c>
      <c r="CU122" s="73" t="str">
        <f t="shared" si="607"/>
        <v>#REF!</v>
      </c>
      <c r="CV122" s="73" t="str">
        <f t="shared" si="607"/>
        <v>#REF!</v>
      </c>
      <c r="CW122" s="73" t="str">
        <f t="shared" si="607"/>
        <v>#REF!</v>
      </c>
      <c r="CX122" s="73" t="str">
        <f t="shared" si="607"/>
        <v>#REF!</v>
      </c>
      <c r="CY122" s="73" t="str">
        <f t="shared" si="607"/>
        <v>#REF!</v>
      </c>
      <c r="CZ122" s="73" t="str">
        <f t="shared" si="607"/>
        <v>#REF!</v>
      </c>
      <c r="DA122" s="73" t="str">
        <f t="shared" si="607"/>
        <v>#REF!</v>
      </c>
      <c r="DB122" s="73" t="str">
        <f t="shared" si="607"/>
        <v>#REF!</v>
      </c>
      <c r="DC122" s="73" t="str">
        <f t="shared" si="607"/>
        <v>#REF!</v>
      </c>
      <c r="DD122" s="73" t="str">
        <f t="shared" si="607"/>
        <v>#REF!</v>
      </c>
      <c r="DE122" s="73" t="str">
        <f t="shared" si="607"/>
        <v>#REF!</v>
      </c>
      <c r="DF122" s="73" t="str">
        <f t="shared" si="607"/>
        <v>#REF!</v>
      </c>
      <c r="DG122" s="73" t="str">
        <f t="shared" si="607"/>
        <v>#REF!</v>
      </c>
      <c r="DH122" s="73" t="str">
        <f t="shared" si="607"/>
        <v>#REF!</v>
      </c>
      <c r="DI122" s="73" t="str">
        <f t="shared" si="607"/>
        <v>#REF!</v>
      </c>
      <c r="DJ122" s="73" t="str">
        <f t="shared" si="607"/>
        <v>#REF!</v>
      </c>
      <c r="DK122" s="73" t="str">
        <f t="shared" si="607"/>
        <v>#REF!</v>
      </c>
      <c r="DL122" s="73" t="str">
        <f t="shared" si="607"/>
        <v>#REF!</v>
      </c>
      <c r="DM122" s="73" t="str">
        <f t="shared" si="607"/>
        <v>#REF!</v>
      </c>
      <c r="DN122" s="73" t="str">
        <f t="shared" si="607"/>
        <v>#REF!</v>
      </c>
      <c r="DO122" s="73" t="str">
        <f t="shared" si="607"/>
        <v>#REF!</v>
      </c>
      <c r="DP122" s="73" t="str">
        <f t="shared" si="607"/>
        <v>#REF!</v>
      </c>
      <c r="DQ122" s="73" t="str">
        <f t="shared" si="607"/>
        <v>#REF!</v>
      </c>
      <c r="DR122" s="73" t="str">
        <f t="shared" si="607"/>
        <v>#REF!</v>
      </c>
      <c r="DS122" s="73" t="str">
        <f t="shared" si="607"/>
        <v>#REF!</v>
      </c>
      <c r="DT122" s="73" t="str">
        <f t="shared" si="607"/>
        <v>#REF!</v>
      </c>
      <c r="DU122" s="74" t="str">
        <f t="shared" si="607"/>
        <v>#REF!</v>
      </c>
      <c r="DV122" s="74" t="str">
        <f t="shared" si="607"/>
        <v>#REF!</v>
      </c>
      <c r="DW122" s="74" t="str">
        <f t="shared" si="607"/>
        <v>#REF!</v>
      </c>
      <c r="DX122" s="74" t="str">
        <f t="shared" si="607"/>
        <v>#REF!</v>
      </c>
      <c r="DY122" s="74" t="str">
        <f t="shared" si="607"/>
        <v>#REF!</v>
      </c>
      <c r="DZ122" s="74"/>
      <c r="EA122" s="76"/>
    </row>
    <row r="123" ht="21.75" customHeight="1">
      <c r="A123" s="64"/>
      <c r="B123" s="70"/>
      <c r="C123" s="71"/>
      <c r="D123" s="71"/>
      <c r="E123" s="71"/>
      <c r="F123" s="78" t="s">
        <v>46</v>
      </c>
      <c r="G123" s="73"/>
      <c r="H123" s="73"/>
      <c r="I123" s="73"/>
      <c r="J123" s="73"/>
      <c r="K123" s="73"/>
      <c r="L123" s="73"/>
      <c r="M123" s="79">
        <f t="shared" ref="M123:O123" si="608">M124</f>
        <v>0</v>
      </c>
      <c r="N123" s="79">
        <f t="shared" si="608"/>
        <v>0</v>
      </c>
      <c r="O123" s="79">
        <f t="shared" si="608"/>
        <v>0</v>
      </c>
      <c r="P123" s="79"/>
      <c r="Q123" s="79"/>
      <c r="R123" s="79"/>
      <c r="S123" s="79">
        <f t="shared" ref="S123:U123" si="609">S124</f>
        <v>0</v>
      </c>
      <c r="T123" s="79">
        <f t="shared" si="609"/>
        <v>0</v>
      </c>
      <c r="U123" s="79">
        <f t="shared" si="609"/>
        <v>0</v>
      </c>
      <c r="V123" s="79"/>
      <c r="W123" s="79"/>
      <c r="X123" s="79"/>
      <c r="Y123" s="79">
        <f t="shared" ref="Y123:AA123" si="610">Y124</f>
        <v>0</v>
      </c>
      <c r="Z123" s="79">
        <f t="shared" si="610"/>
        <v>0</v>
      </c>
      <c r="AA123" s="79">
        <f t="shared" si="610"/>
        <v>0</v>
      </c>
      <c r="AB123" s="79"/>
      <c r="AC123" s="79"/>
      <c r="AD123" s="79"/>
      <c r="AE123" s="79">
        <f t="shared" ref="AE123:AG123" si="611">M123+S123+Y123</f>
        <v>0</v>
      </c>
      <c r="AF123" s="79">
        <f t="shared" si="611"/>
        <v>0</v>
      </c>
      <c r="AG123" s="79">
        <f t="shared" si="611"/>
        <v>0</v>
      </c>
      <c r="AH123" s="73"/>
      <c r="AI123" s="73"/>
      <c r="AJ123" s="73"/>
      <c r="AK123" s="79">
        <f t="shared" ref="AK123:AM123" si="612">AK124</f>
        <v>0</v>
      </c>
      <c r="AL123" s="79">
        <f t="shared" si="612"/>
        <v>0</v>
      </c>
      <c r="AM123" s="79">
        <f t="shared" si="612"/>
        <v>0</v>
      </c>
      <c r="AN123" s="73"/>
      <c r="AO123" s="73"/>
      <c r="AP123" s="73"/>
      <c r="AQ123" s="79">
        <f t="shared" ref="AQ123:AS123" si="613">AE123+AK123</f>
        <v>0</v>
      </c>
      <c r="AR123" s="79">
        <f t="shared" si="613"/>
        <v>0</v>
      </c>
      <c r="AS123" s="79">
        <f t="shared" si="613"/>
        <v>0</v>
      </c>
      <c r="AT123" s="73"/>
      <c r="AU123" s="73"/>
      <c r="AV123" s="73"/>
      <c r="AW123" s="79">
        <v>0.0</v>
      </c>
      <c r="AX123" s="79">
        <v>0.0</v>
      </c>
      <c r="AY123" s="79">
        <v>0.0</v>
      </c>
      <c r="AZ123" s="73"/>
      <c r="BA123" s="73"/>
      <c r="BB123" s="73"/>
      <c r="BC123" s="79">
        <f t="shared" ref="BC123:BE123" si="614">AQ123+AW123</f>
        <v>0</v>
      </c>
      <c r="BD123" s="79">
        <f t="shared" si="614"/>
        <v>0</v>
      </c>
      <c r="BE123" s="79">
        <f t="shared" si="614"/>
        <v>0</v>
      </c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3"/>
      <c r="CO123" s="73"/>
      <c r="CP123" s="73"/>
      <c r="CQ123" s="73"/>
      <c r="CR123" s="73"/>
      <c r="CS123" s="73"/>
      <c r="CT123" s="73"/>
      <c r="CU123" s="73"/>
      <c r="CV123" s="73"/>
      <c r="CW123" s="73"/>
      <c r="CX123" s="73"/>
      <c r="CY123" s="73"/>
      <c r="CZ123" s="73"/>
      <c r="DA123" s="73"/>
      <c r="DB123" s="73"/>
      <c r="DC123" s="73"/>
      <c r="DD123" s="73"/>
      <c r="DE123" s="73"/>
      <c r="DF123" s="73"/>
      <c r="DG123" s="73"/>
      <c r="DH123" s="73"/>
      <c r="DI123" s="73"/>
      <c r="DJ123" s="73"/>
      <c r="DK123" s="73"/>
      <c r="DL123" s="73"/>
      <c r="DM123" s="73"/>
      <c r="DN123" s="73"/>
      <c r="DO123" s="73"/>
      <c r="DP123" s="73"/>
      <c r="DQ123" s="73"/>
      <c r="DR123" s="73"/>
      <c r="DS123" s="73"/>
      <c r="DT123" s="73"/>
      <c r="DU123" s="74"/>
      <c r="DV123" s="74"/>
      <c r="DW123" s="74"/>
      <c r="DX123" s="74"/>
      <c r="DY123" s="74"/>
      <c r="DZ123" s="74"/>
      <c r="EA123" s="76"/>
    </row>
    <row r="124" ht="21.75" customHeight="1">
      <c r="A124" s="64"/>
      <c r="B124" s="70"/>
      <c r="C124" s="71"/>
      <c r="D124" s="71"/>
      <c r="E124" s="71"/>
      <c r="F124" s="81" t="s">
        <v>47</v>
      </c>
      <c r="G124" s="73"/>
      <c r="H124" s="73"/>
      <c r="I124" s="73"/>
      <c r="J124" s="73"/>
      <c r="K124" s="73"/>
      <c r="L124" s="73"/>
      <c r="M124" s="73">
        <f>N124+O124</f>
        <v>0</v>
      </c>
      <c r="N124" s="73">
        <v>0.0</v>
      </c>
      <c r="O124" s="73">
        <v>0.0</v>
      </c>
      <c r="P124" s="73"/>
      <c r="Q124" s="73"/>
      <c r="R124" s="73"/>
      <c r="S124" s="73">
        <f>T124+U124</f>
        <v>0</v>
      </c>
      <c r="T124" s="73">
        <v>0.0</v>
      </c>
      <c r="U124" s="73">
        <v>0.0</v>
      </c>
      <c r="V124" s="73"/>
      <c r="W124" s="73"/>
      <c r="X124" s="73"/>
      <c r="Y124" s="73">
        <f>Z124+AA124</f>
        <v>0</v>
      </c>
      <c r="Z124" s="73">
        <v>0.0</v>
      </c>
      <c r="AA124" s="73">
        <v>0.0</v>
      </c>
      <c r="AB124" s="73"/>
      <c r="AC124" s="73"/>
      <c r="AD124" s="73"/>
      <c r="AE124" s="73">
        <f t="shared" ref="AE124:AG124" si="615">M124+S124+Y124</f>
        <v>0</v>
      </c>
      <c r="AF124" s="73">
        <f t="shared" si="615"/>
        <v>0</v>
      </c>
      <c r="AG124" s="73">
        <f t="shared" si="615"/>
        <v>0</v>
      </c>
      <c r="AH124" s="73"/>
      <c r="AI124" s="73"/>
      <c r="AJ124" s="73"/>
      <c r="AK124" s="73">
        <v>0.0</v>
      </c>
      <c r="AL124" s="73">
        <v>0.0</v>
      </c>
      <c r="AM124" s="73">
        <v>0.0</v>
      </c>
      <c r="AN124" s="73"/>
      <c r="AO124" s="73"/>
      <c r="AP124" s="73"/>
      <c r="AQ124" s="73">
        <f t="shared" ref="AQ124:AS124" si="616">AE124+AK124</f>
        <v>0</v>
      </c>
      <c r="AR124" s="73">
        <f t="shared" si="616"/>
        <v>0</v>
      </c>
      <c r="AS124" s="73">
        <f t="shared" si="616"/>
        <v>0</v>
      </c>
      <c r="AT124" s="73"/>
      <c r="AU124" s="73"/>
      <c r="AV124" s="73"/>
      <c r="AW124" s="73">
        <v>0.0</v>
      </c>
      <c r="AX124" s="73">
        <v>0.0</v>
      </c>
      <c r="AY124" s="73">
        <v>0.0</v>
      </c>
      <c r="AZ124" s="73"/>
      <c r="BA124" s="73"/>
      <c r="BB124" s="73"/>
      <c r="BC124" s="73">
        <f t="shared" ref="BC124:BE124" si="617">AQ124+AW124</f>
        <v>0</v>
      </c>
      <c r="BD124" s="73">
        <f t="shared" si="617"/>
        <v>0</v>
      </c>
      <c r="BE124" s="73">
        <f t="shared" si="617"/>
        <v>0</v>
      </c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3"/>
      <c r="CO124" s="73"/>
      <c r="CP124" s="73"/>
      <c r="CQ124" s="73"/>
      <c r="CR124" s="73"/>
      <c r="CS124" s="73"/>
      <c r="CT124" s="73"/>
      <c r="CU124" s="73"/>
      <c r="CV124" s="73"/>
      <c r="CW124" s="73"/>
      <c r="CX124" s="73"/>
      <c r="CY124" s="73"/>
      <c r="CZ124" s="73"/>
      <c r="DA124" s="73"/>
      <c r="DB124" s="73"/>
      <c r="DC124" s="73"/>
      <c r="DD124" s="73"/>
      <c r="DE124" s="73"/>
      <c r="DF124" s="73"/>
      <c r="DG124" s="73"/>
      <c r="DH124" s="73"/>
      <c r="DI124" s="73"/>
      <c r="DJ124" s="73"/>
      <c r="DK124" s="73"/>
      <c r="DL124" s="73"/>
      <c r="DM124" s="73"/>
      <c r="DN124" s="73"/>
      <c r="DO124" s="73"/>
      <c r="DP124" s="73"/>
      <c r="DQ124" s="73"/>
      <c r="DR124" s="73"/>
      <c r="DS124" s="73"/>
      <c r="DT124" s="73"/>
      <c r="DU124" s="74"/>
      <c r="DV124" s="74"/>
      <c r="DW124" s="74"/>
      <c r="DX124" s="74"/>
      <c r="DY124" s="74"/>
      <c r="DZ124" s="74"/>
      <c r="EA124" s="76"/>
    </row>
    <row r="125" ht="21.75" customHeight="1">
      <c r="A125" s="64"/>
      <c r="B125" s="70"/>
      <c r="C125" s="71"/>
      <c r="D125" s="71"/>
      <c r="E125" s="71"/>
      <c r="F125" s="78" t="s">
        <v>48</v>
      </c>
      <c r="G125" s="73"/>
      <c r="H125" s="73"/>
      <c r="I125" s="73"/>
      <c r="J125" s="73"/>
      <c r="K125" s="73"/>
      <c r="L125" s="73"/>
      <c r="M125" s="79">
        <f t="shared" ref="M125:O125" si="618">M126+M127</f>
        <v>8433.66746</v>
      </c>
      <c r="N125" s="79">
        <f t="shared" si="618"/>
        <v>0</v>
      </c>
      <c r="O125" s="79">
        <f t="shared" si="618"/>
        <v>8433.66746</v>
      </c>
      <c r="P125" s="79"/>
      <c r="Q125" s="79"/>
      <c r="R125" s="79"/>
      <c r="S125" s="79">
        <f t="shared" ref="S125:U125" si="619">S126+S127</f>
        <v>5190</v>
      </c>
      <c r="T125" s="79">
        <f t="shared" si="619"/>
        <v>0</v>
      </c>
      <c r="U125" s="79">
        <f t="shared" si="619"/>
        <v>5190</v>
      </c>
      <c r="V125" s="79"/>
      <c r="W125" s="79"/>
      <c r="X125" s="79"/>
      <c r="Y125" s="79">
        <f t="shared" ref="Y125:AA125" si="620">Y126+Y127</f>
        <v>4471</v>
      </c>
      <c r="Z125" s="79">
        <f t="shared" si="620"/>
        <v>0</v>
      </c>
      <c r="AA125" s="79">
        <f t="shared" si="620"/>
        <v>4471</v>
      </c>
      <c r="AB125" s="79"/>
      <c r="AC125" s="79"/>
      <c r="AD125" s="79"/>
      <c r="AE125" s="79">
        <f t="shared" ref="AE125:AG125" si="621">M125+S125+Y125</f>
        <v>18094.66746</v>
      </c>
      <c r="AF125" s="79">
        <f t="shared" si="621"/>
        <v>0</v>
      </c>
      <c r="AG125" s="79">
        <f t="shared" si="621"/>
        <v>18094.66746</v>
      </c>
      <c r="AH125" s="73"/>
      <c r="AI125" s="73"/>
      <c r="AJ125" s="73"/>
      <c r="AK125" s="79">
        <f t="shared" ref="AK125:AM125" si="622">AK126+AK127</f>
        <v>6996.46506</v>
      </c>
      <c r="AL125" s="79">
        <f t="shared" si="622"/>
        <v>0</v>
      </c>
      <c r="AM125" s="79">
        <f t="shared" si="622"/>
        <v>6996.46506</v>
      </c>
      <c r="AN125" s="73"/>
      <c r="AO125" s="73"/>
      <c r="AP125" s="73"/>
      <c r="AQ125" s="79">
        <f t="shared" ref="AQ125:AS125" si="623">AE125+AK125</f>
        <v>25091.13252</v>
      </c>
      <c r="AR125" s="79">
        <f t="shared" si="623"/>
        <v>0</v>
      </c>
      <c r="AS125" s="79">
        <f t="shared" si="623"/>
        <v>25091.13252</v>
      </c>
      <c r="AT125" s="73"/>
      <c r="AU125" s="73"/>
      <c r="AV125" s="73"/>
      <c r="AW125" s="79">
        <f t="shared" ref="AW125:AY125" si="624">AW126</f>
        <v>5107.3274</v>
      </c>
      <c r="AX125" s="79">
        <f t="shared" si="624"/>
        <v>0</v>
      </c>
      <c r="AY125" s="79">
        <f t="shared" si="624"/>
        <v>5107.3274</v>
      </c>
      <c r="AZ125" s="73"/>
      <c r="BA125" s="73"/>
      <c r="BB125" s="73"/>
      <c r="BC125" s="79">
        <f t="shared" ref="BC125:BE125" si="625">AQ125+AW125</f>
        <v>30198.45992</v>
      </c>
      <c r="BD125" s="79">
        <f t="shared" si="625"/>
        <v>0</v>
      </c>
      <c r="BE125" s="79">
        <f t="shared" si="625"/>
        <v>30198.45992</v>
      </c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3"/>
      <c r="CO125" s="73"/>
      <c r="CP125" s="73"/>
      <c r="CQ125" s="73"/>
      <c r="CR125" s="73"/>
      <c r="CS125" s="73"/>
      <c r="CT125" s="73"/>
      <c r="CU125" s="73"/>
      <c r="CV125" s="73"/>
      <c r="CW125" s="73"/>
      <c r="CX125" s="73"/>
      <c r="CY125" s="73"/>
      <c r="CZ125" s="73"/>
      <c r="DA125" s="73"/>
      <c r="DB125" s="73"/>
      <c r="DC125" s="73"/>
      <c r="DD125" s="73"/>
      <c r="DE125" s="73"/>
      <c r="DF125" s="73"/>
      <c r="DG125" s="73"/>
      <c r="DH125" s="73"/>
      <c r="DI125" s="73"/>
      <c r="DJ125" s="73"/>
      <c r="DK125" s="73"/>
      <c r="DL125" s="73"/>
      <c r="DM125" s="73"/>
      <c r="DN125" s="73"/>
      <c r="DO125" s="73"/>
      <c r="DP125" s="73"/>
      <c r="DQ125" s="73"/>
      <c r="DR125" s="73"/>
      <c r="DS125" s="73"/>
      <c r="DT125" s="73"/>
      <c r="DU125" s="74"/>
      <c r="DV125" s="74"/>
      <c r="DW125" s="74"/>
      <c r="DX125" s="74"/>
      <c r="DY125" s="74"/>
      <c r="DZ125" s="74"/>
      <c r="EA125" s="82"/>
    </row>
    <row r="126" ht="21.75" customHeight="1">
      <c r="A126" s="64"/>
      <c r="B126" s="70"/>
      <c r="C126" s="71"/>
      <c r="D126" s="71"/>
      <c r="E126" s="71"/>
      <c r="F126" s="81" t="s">
        <v>47</v>
      </c>
      <c r="G126" s="73"/>
      <c r="H126" s="73"/>
      <c r="I126" s="73"/>
      <c r="J126" s="73"/>
      <c r="K126" s="73"/>
      <c r="L126" s="73"/>
      <c r="M126" s="73">
        <f>N126+O126</f>
        <v>8433.66746</v>
      </c>
      <c r="N126" s="73">
        <v>0.0</v>
      </c>
      <c r="O126" s="73">
        <v>8433.66746</v>
      </c>
      <c r="P126" s="73"/>
      <c r="Q126" s="73"/>
      <c r="R126" s="73"/>
      <c r="S126" s="73">
        <v>5197.9707</v>
      </c>
      <c r="T126" s="73">
        <v>0.0</v>
      </c>
      <c r="U126" s="73">
        <v>5197.9707</v>
      </c>
      <c r="V126" s="73"/>
      <c r="W126" s="73"/>
      <c r="X126" s="73"/>
      <c r="Y126" s="73">
        <v>4493.58179</v>
      </c>
      <c r="Z126" s="73">
        <v>0.0</v>
      </c>
      <c r="AA126" s="73">
        <v>4493.58179</v>
      </c>
      <c r="AB126" s="73"/>
      <c r="AC126" s="73"/>
      <c r="AD126" s="73"/>
      <c r="AE126" s="73">
        <f t="shared" ref="AE126:AG126" si="626">M126+S126+Y126</f>
        <v>18125.21995</v>
      </c>
      <c r="AF126" s="73">
        <f t="shared" si="626"/>
        <v>0</v>
      </c>
      <c r="AG126" s="73">
        <f t="shared" si="626"/>
        <v>18125.21995</v>
      </c>
      <c r="AH126" s="73"/>
      <c r="AI126" s="73"/>
      <c r="AJ126" s="73"/>
      <c r="AK126" s="73">
        <v>7000.65206</v>
      </c>
      <c r="AL126" s="73">
        <v>0.0</v>
      </c>
      <c r="AM126" s="73">
        <v>7000.65206</v>
      </c>
      <c r="AN126" s="73"/>
      <c r="AO126" s="73"/>
      <c r="AP126" s="73"/>
      <c r="AQ126" s="73">
        <f t="shared" ref="AQ126:AS126" si="627">AE126+AK126</f>
        <v>25125.87201</v>
      </c>
      <c r="AR126" s="73">
        <f t="shared" si="627"/>
        <v>0</v>
      </c>
      <c r="AS126" s="73">
        <f t="shared" si="627"/>
        <v>25125.87201</v>
      </c>
      <c r="AT126" s="73"/>
      <c r="AU126" s="73"/>
      <c r="AV126" s="73"/>
      <c r="AW126" s="73">
        <f>3016.72793+2090.59947</f>
        <v>5107.3274</v>
      </c>
      <c r="AX126" s="73">
        <v>0.0</v>
      </c>
      <c r="AY126" s="73">
        <f>3016.72793+2090.59947</f>
        <v>5107.3274</v>
      </c>
      <c r="AZ126" s="73"/>
      <c r="BA126" s="73"/>
      <c r="BB126" s="73"/>
      <c r="BC126" s="73">
        <f t="shared" ref="BC126:BE126" si="628">AQ126+AW126</f>
        <v>30233.19941</v>
      </c>
      <c r="BD126" s="73">
        <f t="shared" si="628"/>
        <v>0</v>
      </c>
      <c r="BE126" s="73">
        <f t="shared" si="628"/>
        <v>30233.19941</v>
      </c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3"/>
      <c r="CO126" s="73"/>
      <c r="CP126" s="73"/>
      <c r="CQ126" s="73"/>
      <c r="CR126" s="73"/>
      <c r="CS126" s="73"/>
      <c r="CT126" s="73"/>
      <c r="CU126" s="73"/>
      <c r="CV126" s="73"/>
      <c r="CW126" s="73"/>
      <c r="CX126" s="73"/>
      <c r="CY126" s="73"/>
      <c r="CZ126" s="73"/>
      <c r="DA126" s="73"/>
      <c r="DB126" s="73"/>
      <c r="DC126" s="73"/>
      <c r="DD126" s="73"/>
      <c r="DE126" s="73"/>
      <c r="DF126" s="73"/>
      <c r="DG126" s="73"/>
      <c r="DH126" s="73"/>
      <c r="DI126" s="73"/>
      <c r="DJ126" s="73"/>
      <c r="DK126" s="73"/>
      <c r="DL126" s="73"/>
      <c r="DM126" s="73"/>
      <c r="DN126" s="73"/>
      <c r="DO126" s="73"/>
      <c r="DP126" s="73"/>
      <c r="DQ126" s="73"/>
      <c r="DR126" s="73"/>
      <c r="DS126" s="73"/>
      <c r="DT126" s="73"/>
      <c r="DU126" s="74"/>
      <c r="DV126" s="74"/>
      <c r="DW126" s="74"/>
      <c r="DX126" s="74"/>
      <c r="DY126" s="74"/>
      <c r="DZ126" s="74"/>
      <c r="EA126" s="76" t="s">
        <v>115</v>
      </c>
    </row>
    <row r="127" ht="21.75" customHeight="1">
      <c r="A127" s="64"/>
      <c r="B127" s="70"/>
      <c r="C127" s="71"/>
      <c r="D127" s="71"/>
      <c r="E127" s="71"/>
      <c r="F127" s="81" t="s">
        <v>50</v>
      </c>
      <c r="G127" s="73"/>
      <c r="H127" s="73"/>
      <c r="I127" s="73"/>
      <c r="J127" s="73"/>
      <c r="K127" s="73"/>
      <c r="L127" s="73"/>
      <c r="M127" s="73">
        <v>0.0</v>
      </c>
      <c r="N127" s="73">
        <v>0.0</v>
      </c>
      <c r="O127" s="73">
        <v>0.0</v>
      </c>
      <c r="P127" s="73"/>
      <c r="Q127" s="73"/>
      <c r="R127" s="73"/>
      <c r="S127" s="73">
        <v>-7.970699999999852</v>
      </c>
      <c r="T127" s="73">
        <v>0.0</v>
      </c>
      <c r="U127" s="73">
        <v>-7.970699999999852</v>
      </c>
      <c r="V127" s="73"/>
      <c r="W127" s="73"/>
      <c r="X127" s="73"/>
      <c r="Y127" s="73">
        <v>-22.581790000000183</v>
      </c>
      <c r="Z127" s="73">
        <v>0.0</v>
      </c>
      <c r="AA127" s="73">
        <v>-22.581790000000183</v>
      </c>
      <c r="AB127" s="73"/>
      <c r="AC127" s="73"/>
      <c r="AD127" s="73"/>
      <c r="AE127" s="73">
        <f t="shared" ref="AE127:AG127" si="629">M127+S127+Y127</f>
        <v>-30.55249</v>
      </c>
      <c r="AF127" s="73">
        <f t="shared" si="629"/>
        <v>0</v>
      </c>
      <c r="AG127" s="73">
        <f t="shared" si="629"/>
        <v>-30.55249</v>
      </c>
      <c r="AH127" s="73"/>
      <c r="AI127" s="73"/>
      <c r="AJ127" s="73"/>
      <c r="AK127" s="73">
        <v>-4.187000000000808</v>
      </c>
      <c r="AL127" s="73"/>
      <c r="AM127" s="73">
        <v>-4.187000000000808</v>
      </c>
      <c r="AN127" s="73"/>
      <c r="AO127" s="73"/>
      <c r="AP127" s="73"/>
      <c r="AQ127" s="73">
        <f t="shared" ref="AQ127:AS127" si="630">AE127+AK127</f>
        <v>-34.73949</v>
      </c>
      <c r="AR127" s="73">
        <f t="shared" si="630"/>
        <v>0</v>
      </c>
      <c r="AS127" s="73">
        <f t="shared" si="630"/>
        <v>-34.73949</v>
      </c>
      <c r="AT127" s="73"/>
      <c r="AU127" s="73"/>
      <c r="AV127" s="73"/>
      <c r="AW127" s="73"/>
      <c r="AX127" s="73"/>
      <c r="AY127" s="73"/>
      <c r="AZ127" s="73"/>
      <c r="BA127" s="73"/>
      <c r="BB127" s="73"/>
      <c r="BC127" s="73">
        <f t="shared" ref="BC127:BE127" si="631">AQ127+AW127</f>
        <v>-34.73949</v>
      </c>
      <c r="BD127" s="73">
        <f t="shared" si="631"/>
        <v>0</v>
      </c>
      <c r="BE127" s="73">
        <f t="shared" si="631"/>
        <v>-34.73949</v>
      </c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3"/>
      <c r="CO127" s="73"/>
      <c r="CP127" s="73"/>
      <c r="CQ127" s="73"/>
      <c r="CR127" s="73"/>
      <c r="CS127" s="73"/>
      <c r="CT127" s="73"/>
      <c r="CU127" s="73"/>
      <c r="CV127" s="73"/>
      <c r="CW127" s="73"/>
      <c r="CX127" s="73"/>
      <c r="CY127" s="73"/>
      <c r="CZ127" s="73"/>
      <c r="DA127" s="73"/>
      <c r="DB127" s="73"/>
      <c r="DC127" s="73"/>
      <c r="DD127" s="73"/>
      <c r="DE127" s="73"/>
      <c r="DF127" s="73"/>
      <c r="DG127" s="73"/>
      <c r="DH127" s="73"/>
      <c r="DI127" s="73"/>
      <c r="DJ127" s="73"/>
      <c r="DK127" s="73"/>
      <c r="DL127" s="73"/>
      <c r="DM127" s="73"/>
      <c r="DN127" s="73"/>
      <c r="DO127" s="73"/>
      <c r="DP127" s="73"/>
      <c r="DQ127" s="73"/>
      <c r="DR127" s="73"/>
      <c r="DS127" s="73"/>
      <c r="DT127" s="73"/>
      <c r="DU127" s="74"/>
      <c r="DV127" s="74"/>
      <c r="DW127" s="74"/>
      <c r="DX127" s="74"/>
      <c r="DY127" s="74"/>
      <c r="DZ127" s="74"/>
      <c r="EA127" s="76"/>
    </row>
    <row r="128" ht="21.75" customHeight="1">
      <c r="A128" s="64"/>
      <c r="B128" s="70"/>
      <c r="C128" s="71"/>
      <c r="D128" s="71"/>
      <c r="E128" s="71"/>
      <c r="F128" s="78" t="s">
        <v>51</v>
      </c>
      <c r="G128" s="73"/>
      <c r="H128" s="73"/>
      <c r="I128" s="73"/>
      <c r="J128" s="73"/>
      <c r="K128" s="73"/>
      <c r="L128" s="73"/>
      <c r="M128" s="79">
        <f t="shared" ref="M128:O128" si="632">M129+M130</f>
        <v>-5.45461</v>
      </c>
      <c r="N128" s="79">
        <f t="shared" si="632"/>
        <v>0</v>
      </c>
      <c r="O128" s="79">
        <f t="shared" si="632"/>
        <v>-5.45461</v>
      </c>
      <c r="P128" s="73"/>
      <c r="Q128" s="73"/>
      <c r="R128" s="73"/>
      <c r="S128" s="79">
        <f t="shared" ref="S128:U128" si="633">S129+S130</f>
        <v>405</v>
      </c>
      <c r="T128" s="79">
        <f t="shared" si="633"/>
        <v>0</v>
      </c>
      <c r="U128" s="79">
        <f t="shared" si="633"/>
        <v>405</v>
      </c>
      <c r="V128" s="73"/>
      <c r="W128" s="73"/>
      <c r="X128" s="73"/>
      <c r="Y128" s="79">
        <f t="shared" ref="Y128:AA128" si="634">Y129+Y130</f>
        <v>1945.3</v>
      </c>
      <c r="Z128" s="79">
        <f t="shared" si="634"/>
        <v>0</v>
      </c>
      <c r="AA128" s="79">
        <f t="shared" si="634"/>
        <v>1945.3</v>
      </c>
      <c r="AB128" s="73"/>
      <c r="AC128" s="73"/>
      <c r="AD128" s="73"/>
      <c r="AE128" s="79">
        <f t="shared" ref="AE128:AG128" si="635">M128+S128+Y128</f>
        <v>2344.84539</v>
      </c>
      <c r="AF128" s="79">
        <f t="shared" si="635"/>
        <v>0</v>
      </c>
      <c r="AG128" s="79">
        <f t="shared" si="635"/>
        <v>2344.84539</v>
      </c>
      <c r="AH128" s="73"/>
      <c r="AI128" s="73"/>
      <c r="AJ128" s="73"/>
      <c r="AK128" s="79">
        <f t="shared" ref="AK128:AM128" si="636">AK129+AK130</f>
        <v>2080.925</v>
      </c>
      <c r="AL128" s="79">
        <f t="shared" si="636"/>
        <v>0</v>
      </c>
      <c r="AM128" s="79">
        <f t="shared" si="636"/>
        <v>2080.925</v>
      </c>
      <c r="AN128" s="73"/>
      <c r="AO128" s="73"/>
      <c r="AP128" s="73"/>
      <c r="AQ128" s="79">
        <f t="shared" ref="AQ128:AS128" si="637">AE128+AK128</f>
        <v>4425.77039</v>
      </c>
      <c r="AR128" s="79">
        <f t="shared" si="637"/>
        <v>0</v>
      </c>
      <c r="AS128" s="79">
        <f t="shared" si="637"/>
        <v>4425.77039</v>
      </c>
      <c r="AT128" s="73"/>
      <c r="AU128" s="73"/>
      <c r="AV128" s="73"/>
      <c r="AW128" s="79">
        <f t="shared" ref="AW128:AY128" si="638">AW129+AW130</f>
        <v>1859.9</v>
      </c>
      <c r="AX128" s="79">
        <f t="shared" si="638"/>
        <v>0</v>
      </c>
      <c r="AY128" s="79">
        <f t="shared" si="638"/>
        <v>1859.9</v>
      </c>
      <c r="AZ128" s="73"/>
      <c r="BA128" s="73"/>
      <c r="BB128" s="73"/>
      <c r="BC128" s="79">
        <f t="shared" ref="BC128:BE128" si="639">AQ128+AW128</f>
        <v>6285.67039</v>
      </c>
      <c r="BD128" s="79">
        <f t="shared" si="639"/>
        <v>0</v>
      </c>
      <c r="BE128" s="79">
        <f t="shared" si="639"/>
        <v>6285.67039</v>
      </c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3"/>
      <c r="CO128" s="73"/>
      <c r="CP128" s="73"/>
      <c r="CQ128" s="73"/>
      <c r="CR128" s="73"/>
      <c r="CS128" s="73"/>
      <c r="CT128" s="73"/>
      <c r="CU128" s="73"/>
      <c r="CV128" s="73"/>
      <c r="CW128" s="73"/>
      <c r="CX128" s="73"/>
      <c r="CY128" s="73"/>
      <c r="CZ128" s="73"/>
      <c r="DA128" s="73"/>
      <c r="DB128" s="73"/>
      <c r="DC128" s="73"/>
      <c r="DD128" s="73"/>
      <c r="DE128" s="73"/>
      <c r="DF128" s="73"/>
      <c r="DG128" s="73"/>
      <c r="DH128" s="73"/>
      <c r="DI128" s="73"/>
      <c r="DJ128" s="73"/>
      <c r="DK128" s="73"/>
      <c r="DL128" s="73"/>
      <c r="DM128" s="73"/>
      <c r="DN128" s="73"/>
      <c r="DO128" s="73"/>
      <c r="DP128" s="73"/>
      <c r="DQ128" s="73"/>
      <c r="DR128" s="73"/>
      <c r="DS128" s="73"/>
      <c r="DT128" s="73"/>
      <c r="DU128" s="74"/>
      <c r="DV128" s="74"/>
      <c r="DW128" s="74"/>
      <c r="DX128" s="74"/>
      <c r="DY128" s="74"/>
      <c r="DZ128" s="74"/>
      <c r="EA128" s="76"/>
    </row>
    <row r="129" ht="21.75" customHeight="1">
      <c r="A129" s="64"/>
      <c r="B129" s="70"/>
      <c r="C129" s="71"/>
      <c r="D129" s="71"/>
      <c r="E129" s="71"/>
      <c r="F129" s="81" t="s">
        <v>47</v>
      </c>
      <c r="G129" s="73"/>
      <c r="H129" s="73"/>
      <c r="I129" s="73"/>
      <c r="J129" s="73"/>
      <c r="K129" s="73"/>
      <c r="L129" s="73"/>
      <c r="M129" s="73">
        <v>0.0</v>
      </c>
      <c r="N129" s="73">
        <v>0.0</v>
      </c>
      <c r="O129" s="73">
        <v>0.0</v>
      </c>
      <c r="P129" s="73"/>
      <c r="Q129" s="73"/>
      <c r="R129" s="73"/>
      <c r="S129" s="73">
        <v>0.0</v>
      </c>
      <c r="T129" s="73">
        <v>0.0</v>
      </c>
      <c r="U129" s="73">
        <v>0.0</v>
      </c>
      <c r="V129" s="73"/>
      <c r="W129" s="73"/>
      <c r="X129" s="73"/>
      <c r="Y129" s="73">
        <v>1388.45</v>
      </c>
      <c r="Z129" s="73">
        <v>0.0</v>
      </c>
      <c r="AA129" s="73">
        <v>1388.45</v>
      </c>
      <c r="AB129" s="73"/>
      <c r="AC129" s="73"/>
      <c r="AD129" s="73"/>
      <c r="AE129" s="73">
        <f t="shared" ref="AE129:AG129" si="640">M129+S129+Y129</f>
        <v>1388.45</v>
      </c>
      <c r="AF129" s="73">
        <f t="shared" si="640"/>
        <v>0</v>
      </c>
      <c r="AG129" s="73">
        <f t="shared" si="640"/>
        <v>1388.45</v>
      </c>
      <c r="AH129" s="73"/>
      <c r="AI129" s="73"/>
      <c r="AJ129" s="73"/>
      <c r="AK129" s="73">
        <f t="shared" ref="AK129:AK132" si="644">AL129+AM129</f>
        <v>1067.825</v>
      </c>
      <c r="AL129" s="73">
        <v>0.0</v>
      </c>
      <c r="AM129" s="73">
        <v>1067.825</v>
      </c>
      <c r="AN129" s="73"/>
      <c r="AO129" s="73"/>
      <c r="AP129" s="73"/>
      <c r="AQ129" s="73">
        <f t="shared" ref="AQ129:AS129" si="641">AE129+AK129</f>
        <v>2456.275</v>
      </c>
      <c r="AR129" s="73">
        <f t="shared" si="641"/>
        <v>0</v>
      </c>
      <c r="AS129" s="73">
        <f t="shared" si="641"/>
        <v>2456.275</v>
      </c>
      <c r="AT129" s="73"/>
      <c r="AU129" s="73"/>
      <c r="AV129" s="73"/>
      <c r="AW129" s="73">
        <v>578.65</v>
      </c>
      <c r="AX129" s="73">
        <v>0.0</v>
      </c>
      <c r="AY129" s="73">
        <v>578.65</v>
      </c>
      <c r="AZ129" s="73"/>
      <c r="BA129" s="73"/>
      <c r="BB129" s="73"/>
      <c r="BC129" s="73">
        <f t="shared" ref="BC129:BE129" si="642">AQ129+AW129</f>
        <v>3034.925</v>
      </c>
      <c r="BD129" s="73">
        <f t="shared" si="642"/>
        <v>0</v>
      </c>
      <c r="BE129" s="73">
        <f t="shared" si="642"/>
        <v>3034.925</v>
      </c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3"/>
      <c r="CO129" s="73"/>
      <c r="CP129" s="73"/>
      <c r="CQ129" s="73"/>
      <c r="CR129" s="73"/>
      <c r="CS129" s="73"/>
      <c r="CT129" s="73"/>
      <c r="CU129" s="73"/>
      <c r="CV129" s="73"/>
      <c r="CW129" s="73"/>
      <c r="CX129" s="73"/>
      <c r="CY129" s="73"/>
      <c r="CZ129" s="73"/>
      <c r="DA129" s="73"/>
      <c r="DB129" s="73"/>
      <c r="DC129" s="73"/>
      <c r="DD129" s="73"/>
      <c r="DE129" s="73"/>
      <c r="DF129" s="73"/>
      <c r="DG129" s="73"/>
      <c r="DH129" s="73"/>
      <c r="DI129" s="73"/>
      <c r="DJ129" s="73"/>
      <c r="DK129" s="73"/>
      <c r="DL129" s="73"/>
      <c r="DM129" s="73"/>
      <c r="DN129" s="73"/>
      <c r="DO129" s="73"/>
      <c r="DP129" s="73"/>
      <c r="DQ129" s="73"/>
      <c r="DR129" s="73"/>
      <c r="DS129" s="73"/>
      <c r="DT129" s="73"/>
      <c r="DU129" s="74"/>
      <c r="DV129" s="74"/>
      <c r="DW129" s="74"/>
      <c r="DX129" s="74"/>
      <c r="DY129" s="74"/>
      <c r="DZ129" s="74"/>
      <c r="EA129" s="76" t="s">
        <v>116</v>
      </c>
    </row>
    <row r="130" ht="21.75" customHeight="1">
      <c r="A130" s="64"/>
      <c r="B130" s="70"/>
      <c r="C130" s="71"/>
      <c r="D130" s="71"/>
      <c r="E130" s="71"/>
      <c r="F130" s="81" t="s">
        <v>52</v>
      </c>
      <c r="G130" s="73"/>
      <c r="H130" s="73"/>
      <c r="I130" s="73"/>
      <c r="J130" s="73"/>
      <c r="K130" s="73"/>
      <c r="L130" s="73"/>
      <c r="M130" s="73">
        <f t="shared" ref="M130:M132" si="647">N130+O130</f>
        <v>-5.45461</v>
      </c>
      <c r="N130" s="73">
        <v>0.0</v>
      </c>
      <c r="O130" s="73">
        <v>-5.45461</v>
      </c>
      <c r="P130" s="73"/>
      <c r="Q130" s="73"/>
      <c r="R130" s="73"/>
      <c r="S130" s="73">
        <f t="shared" ref="S130:S132" si="648">T130+U130</f>
        <v>405</v>
      </c>
      <c r="T130" s="73">
        <v>0.0</v>
      </c>
      <c r="U130" s="73">
        <v>405.0</v>
      </c>
      <c r="V130" s="73"/>
      <c r="W130" s="73"/>
      <c r="X130" s="73"/>
      <c r="Y130" s="73">
        <v>556.85</v>
      </c>
      <c r="Z130" s="73">
        <v>0.0</v>
      </c>
      <c r="AA130" s="73">
        <v>556.85</v>
      </c>
      <c r="AB130" s="73"/>
      <c r="AC130" s="73"/>
      <c r="AD130" s="73"/>
      <c r="AE130" s="73">
        <f t="shared" ref="AE130:AG130" si="643">M130+S130+Y130</f>
        <v>956.39539</v>
      </c>
      <c r="AF130" s="73">
        <f t="shared" si="643"/>
        <v>0</v>
      </c>
      <c r="AG130" s="73">
        <f t="shared" si="643"/>
        <v>956.39539</v>
      </c>
      <c r="AH130" s="73"/>
      <c r="AI130" s="73"/>
      <c r="AJ130" s="73"/>
      <c r="AK130" s="73">
        <f t="shared" si="644"/>
        <v>1013.1</v>
      </c>
      <c r="AL130" s="73">
        <v>0.0</v>
      </c>
      <c r="AM130" s="73">
        <v>1013.1</v>
      </c>
      <c r="AN130" s="73"/>
      <c r="AO130" s="73"/>
      <c r="AP130" s="73"/>
      <c r="AQ130" s="73">
        <f t="shared" ref="AQ130:AS130" si="645">AE130+AK130</f>
        <v>1969.49539</v>
      </c>
      <c r="AR130" s="73">
        <f t="shared" si="645"/>
        <v>0</v>
      </c>
      <c r="AS130" s="73">
        <f t="shared" si="645"/>
        <v>1969.49539</v>
      </c>
      <c r="AT130" s="73"/>
      <c r="AU130" s="73"/>
      <c r="AV130" s="73"/>
      <c r="AW130" s="73">
        <v>1281.25</v>
      </c>
      <c r="AX130" s="73">
        <v>0.0</v>
      </c>
      <c r="AY130" s="73">
        <v>1281.25</v>
      </c>
      <c r="AZ130" s="73"/>
      <c r="BA130" s="73"/>
      <c r="BB130" s="73"/>
      <c r="BC130" s="73">
        <f t="shared" ref="BC130:BE130" si="646">AQ130+AW130</f>
        <v>3250.74539</v>
      </c>
      <c r="BD130" s="73">
        <f t="shared" si="646"/>
        <v>0</v>
      </c>
      <c r="BE130" s="73">
        <f t="shared" si="646"/>
        <v>3250.74539</v>
      </c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3"/>
      <c r="CO130" s="73"/>
      <c r="CP130" s="73"/>
      <c r="CQ130" s="73"/>
      <c r="CR130" s="73"/>
      <c r="CS130" s="73"/>
      <c r="CT130" s="73"/>
      <c r="CU130" s="73"/>
      <c r="CV130" s="73"/>
      <c r="CW130" s="73"/>
      <c r="CX130" s="73"/>
      <c r="CY130" s="73"/>
      <c r="CZ130" s="73"/>
      <c r="DA130" s="73"/>
      <c r="DB130" s="73"/>
      <c r="DC130" s="73"/>
      <c r="DD130" s="73"/>
      <c r="DE130" s="73"/>
      <c r="DF130" s="73"/>
      <c r="DG130" s="73"/>
      <c r="DH130" s="73"/>
      <c r="DI130" s="73"/>
      <c r="DJ130" s="73"/>
      <c r="DK130" s="73"/>
      <c r="DL130" s="73"/>
      <c r="DM130" s="73"/>
      <c r="DN130" s="73"/>
      <c r="DO130" s="73"/>
      <c r="DP130" s="73"/>
      <c r="DQ130" s="73"/>
      <c r="DR130" s="73"/>
      <c r="DS130" s="73"/>
      <c r="DT130" s="73"/>
      <c r="DU130" s="74"/>
      <c r="DV130" s="74"/>
      <c r="DW130" s="72"/>
      <c r="DX130" s="72"/>
      <c r="DY130" s="72"/>
      <c r="DZ130" s="96"/>
      <c r="EA130" s="76" t="s">
        <v>117</v>
      </c>
    </row>
    <row r="131" ht="21.75" customHeight="1">
      <c r="A131" s="64"/>
      <c r="B131" s="70"/>
      <c r="C131" s="71"/>
      <c r="D131" s="71"/>
      <c r="E131" s="71"/>
      <c r="F131" s="78" t="s">
        <v>53</v>
      </c>
      <c r="G131" s="73"/>
      <c r="H131" s="73"/>
      <c r="I131" s="73"/>
      <c r="J131" s="73"/>
      <c r="K131" s="73"/>
      <c r="L131" s="73"/>
      <c r="M131" s="79">
        <f t="shared" si="647"/>
        <v>0</v>
      </c>
      <c r="N131" s="79">
        <v>0.0</v>
      </c>
      <c r="O131" s="79">
        <v>0.0</v>
      </c>
      <c r="P131" s="79"/>
      <c r="Q131" s="79"/>
      <c r="R131" s="79"/>
      <c r="S131" s="79">
        <f t="shared" si="648"/>
        <v>94548</v>
      </c>
      <c r="T131" s="79">
        <v>0.0</v>
      </c>
      <c r="U131" s="79">
        <v>94548.0</v>
      </c>
      <c r="V131" s="79"/>
      <c r="W131" s="79"/>
      <c r="X131" s="79"/>
      <c r="Y131" s="79">
        <f t="shared" ref="Y131:Y132" si="652">Z131+AA131</f>
        <v>0</v>
      </c>
      <c r="Z131" s="79">
        <v>0.0</v>
      </c>
      <c r="AA131" s="79">
        <v>0.0</v>
      </c>
      <c r="AB131" s="79"/>
      <c r="AC131" s="79"/>
      <c r="AD131" s="79"/>
      <c r="AE131" s="79">
        <f t="shared" ref="AE131:AG131" si="649">M131+S131+Y131</f>
        <v>94548</v>
      </c>
      <c r="AF131" s="79">
        <f t="shared" si="649"/>
        <v>0</v>
      </c>
      <c r="AG131" s="79">
        <f t="shared" si="649"/>
        <v>94548</v>
      </c>
      <c r="AH131" s="73"/>
      <c r="AI131" s="73"/>
      <c r="AJ131" s="73"/>
      <c r="AK131" s="79">
        <f t="shared" si="644"/>
        <v>0</v>
      </c>
      <c r="AL131" s="79">
        <v>0.0</v>
      </c>
      <c r="AM131" s="79">
        <v>0.0</v>
      </c>
      <c r="AN131" s="73"/>
      <c r="AO131" s="73"/>
      <c r="AP131" s="73"/>
      <c r="AQ131" s="79">
        <f t="shared" ref="AQ131:AS131" si="650">AE131+AK131</f>
        <v>94548</v>
      </c>
      <c r="AR131" s="79">
        <f t="shared" si="650"/>
        <v>0</v>
      </c>
      <c r="AS131" s="79">
        <f t="shared" si="650"/>
        <v>94548</v>
      </c>
      <c r="AT131" s="73"/>
      <c r="AU131" s="73"/>
      <c r="AV131" s="73"/>
      <c r="AW131" s="79">
        <v>0.0</v>
      </c>
      <c r="AX131" s="79">
        <v>0.0</v>
      </c>
      <c r="AY131" s="79">
        <v>0.0</v>
      </c>
      <c r="AZ131" s="73"/>
      <c r="BA131" s="73"/>
      <c r="BB131" s="73"/>
      <c r="BC131" s="79">
        <f t="shared" ref="BC131:BE131" si="651">AQ131+AW131</f>
        <v>94548</v>
      </c>
      <c r="BD131" s="79">
        <f t="shared" si="651"/>
        <v>0</v>
      </c>
      <c r="BE131" s="79">
        <f t="shared" si="651"/>
        <v>94548</v>
      </c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3"/>
      <c r="CO131" s="73"/>
      <c r="CP131" s="73"/>
      <c r="CQ131" s="73"/>
      <c r="CR131" s="73"/>
      <c r="CS131" s="73"/>
      <c r="CT131" s="73"/>
      <c r="CU131" s="73"/>
      <c r="CV131" s="73"/>
      <c r="CW131" s="73"/>
      <c r="CX131" s="73"/>
      <c r="CY131" s="73"/>
      <c r="CZ131" s="73"/>
      <c r="DA131" s="73"/>
      <c r="DB131" s="73"/>
      <c r="DC131" s="73"/>
      <c r="DD131" s="73"/>
      <c r="DE131" s="73"/>
      <c r="DF131" s="73"/>
      <c r="DG131" s="73"/>
      <c r="DH131" s="73"/>
      <c r="DI131" s="73"/>
      <c r="DJ131" s="73"/>
      <c r="DK131" s="73"/>
      <c r="DL131" s="73"/>
      <c r="DM131" s="73"/>
      <c r="DN131" s="73"/>
      <c r="DO131" s="73"/>
      <c r="DP131" s="73"/>
      <c r="DQ131" s="73"/>
      <c r="DR131" s="73"/>
      <c r="DS131" s="73"/>
      <c r="DT131" s="73"/>
      <c r="DU131" s="74"/>
      <c r="DV131" s="74"/>
      <c r="DW131" s="72"/>
      <c r="DX131" s="72"/>
      <c r="DY131" s="72"/>
      <c r="DZ131" s="72"/>
      <c r="EA131" s="76" t="s">
        <v>118</v>
      </c>
    </row>
    <row r="132" ht="21.75" customHeight="1">
      <c r="A132" s="64"/>
      <c r="B132" s="92"/>
      <c r="C132" s="72"/>
      <c r="D132" s="71"/>
      <c r="E132" s="71"/>
      <c r="F132" s="78" t="s">
        <v>55</v>
      </c>
      <c r="G132" s="73"/>
      <c r="H132" s="73"/>
      <c r="I132" s="73"/>
      <c r="J132" s="73"/>
      <c r="K132" s="73"/>
      <c r="L132" s="73"/>
      <c r="M132" s="79">
        <f t="shared" si="647"/>
        <v>0</v>
      </c>
      <c r="N132" s="79">
        <v>0.0</v>
      </c>
      <c r="O132" s="79">
        <v>0.0</v>
      </c>
      <c r="P132" s="79"/>
      <c r="Q132" s="79"/>
      <c r="R132" s="79"/>
      <c r="S132" s="79">
        <f t="shared" si="648"/>
        <v>0</v>
      </c>
      <c r="T132" s="79">
        <v>0.0</v>
      </c>
      <c r="U132" s="79">
        <v>0.0</v>
      </c>
      <c r="V132" s="79"/>
      <c r="W132" s="79"/>
      <c r="X132" s="79"/>
      <c r="Y132" s="79">
        <f t="shared" si="652"/>
        <v>0</v>
      </c>
      <c r="Z132" s="79">
        <v>0.0</v>
      </c>
      <c r="AA132" s="79">
        <v>0.0</v>
      </c>
      <c r="AB132" s="79"/>
      <c r="AC132" s="79"/>
      <c r="AD132" s="79"/>
      <c r="AE132" s="79">
        <f t="shared" ref="AE132:AG132" si="653">M132+S132+Y132</f>
        <v>0</v>
      </c>
      <c r="AF132" s="79">
        <f t="shared" si="653"/>
        <v>0</v>
      </c>
      <c r="AG132" s="79">
        <f t="shared" si="653"/>
        <v>0</v>
      </c>
      <c r="AH132" s="73"/>
      <c r="AI132" s="73"/>
      <c r="AJ132" s="73"/>
      <c r="AK132" s="79">
        <f t="shared" si="644"/>
        <v>0</v>
      </c>
      <c r="AL132" s="79">
        <v>0.0</v>
      </c>
      <c r="AM132" s="79">
        <v>0.0</v>
      </c>
      <c r="AN132" s="73"/>
      <c r="AO132" s="73"/>
      <c r="AP132" s="73"/>
      <c r="AQ132" s="79">
        <f t="shared" ref="AQ132:AS132" si="654">AE132+AK132</f>
        <v>0</v>
      </c>
      <c r="AR132" s="79">
        <f t="shared" si="654"/>
        <v>0</v>
      </c>
      <c r="AS132" s="79">
        <f t="shared" si="654"/>
        <v>0</v>
      </c>
      <c r="AT132" s="73"/>
      <c r="AU132" s="73"/>
      <c r="AV132" s="73"/>
      <c r="AW132" s="79">
        <v>2436.13365</v>
      </c>
      <c r="AX132" s="79">
        <v>0.0</v>
      </c>
      <c r="AY132" s="79">
        <v>2436.13365</v>
      </c>
      <c r="AZ132" s="73"/>
      <c r="BA132" s="73"/>
      <c r="BB132" s="73"/>
      <c r="BC132" s="79">
        <f t="shared" ref="BC132:BE132" si="655">AQ132+AW132</f>
        <v>2436.13365</v>
      </c>
      <c r="BD132" s="79">
        <f t="shared" si="655"/>
        <v>0</v>
      </c>
      <c r="BE132" s="79">
        <f t="shared" si="655"/>
        <v>2436.13365</v>
      </c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3"/>
      <c r="CO132" s="73"/>
      <c r="CP132" s="73"/>
      <c r="CQ132" s="73"/>
      <c r="CR132" s="73"/>
      <c r="CS132" s="73"/>
      <c r="CT132" s="73"/>
      <c r="CU132" s="73"/>
      <c r="CV132" s="73"/>
      <c r="CW132" s="73"/>
      <c r="CX132" s="73"/>
      <c r="CY132" s="73"/>
      <c r="CZ132" s="73"/>
      <c r="DA132" s="73"/>
      <c r="DB132" s="73"/>
      <c r="DC132" s="73"/>
      <c r="DD132" s="73"/>
      <c r="DE132" s="73"/>
      <c r="DF132" s="73"/>
      <c r="DG132" s="73"/>
      <c r="DH132" s="73"/>
      <c r="DI132" s="73"/>
      <c r="DJ132" s="73"/>
      <c r="DK132" s="73"/>
      <c r="DL132" s="73"/>
      <c r="DM132" s="73"/>
      <c r="DN132" s="73"/>
      <c r="DO132" s="73"/>
      <c r="DP132" s="73"/>
      <c r="DQ132" s="73"/>
      <c r="DR132" s="73"/>
      <c r="DS132" s="73"/>
      <c r="DT132" s="73"/>
      <c r="DU132" s="74"/>
      <c r="DV132" s="74"/>
      <c r="DW132" s="72"/>
      <c r="DX132" s="72"/>
      <c r="DY132" s="72"/>
      <c r="DZ132" s="75"/>
      <c r="EA132" s="76" t="s">
        <v>119</v>
      </c>
    </row>
    <row r="133" ht="21.75" customHeight="1">
      <c r="A133" s="64"/>
      <c r="B133" s="70" t="s">
        <v>40</v>
      </c>
      <c r="C133" s="71" t="s">
        <v>120</v>
      </c>
      <c r="D133" s="71" t="s">
        <v>41</v>
      </c>
      <c r="E133" s="71" t="s">
        <v>121</v>
      </c>
      <c r="F133" s="72" t="s">
        <v>122</v>
      </c>
      <c r="G133" s="73">
        <v>1382634.0</v>
      </c>
      <c r="H133" s="73">
        <v>0.0</v>
      </c>
      <c r="I133" s="73">
        <v>1382634.0</v>
      </c>
      <c r="J133" s="73">
        <f t="shared" ref="J133:L133" si="656">J134+J136+J139</f>
        <v>0</v>
      </c>
      <c r="K133" s="73">
        <f t="shared" si="656"/>
        <v>0</v>
      </c>
      <c r="L133" s="73">
        <f t="shared" si="656"/>
        <v>0</v>
      </c>
      <c r="M133" s="73">
        <f t="shared" ref="M133:O133" si="657">M134+M136+M139+M142+M143</f>
        <v>5678.0035</v>
      </c>
      <c r="N133" s="73">
        <f t="shared" si="657"/>
        <v>0</v>
      </c>
      <c r="O133" s="73">
        <f t="shared" si="657"/>
        <v>5678.0035</v>
      </c>
      <c r="P133" s="73">
        <f t="shared" ref="P133:R133" si="658">P134+P136+P139</f>
        <v>0</v>
      </c>
      <c r="Q133" s="73">
        <f t="shared" si="658"/>
        <v>0</v>
      </c>
      <c r="R133" s="73">
        <f t="shared" si="658"/>
        <v>0</v>
      </c>
      <c r="S133" s="73">
        <f t="shared" ref="S133:U133" si="659">S134+S136+S139+S142+S143</f>
        <v>4016.79917</v>
      </c>
      <c r="T133" s="73">
        <f t="shared" si="659"/>
        <v>0</v>
      </c>
      <c r="U133" s="73">
        <f t="shared" si="659"/>
        <v>4016.79917</v>
      </c>
      <c r="V133" s="73">
        <v>1757.0</v>
      </c>
      <c r="W133" s="73">
        <f>W134+W136+W139</f>
        <v>0</v>
      </c>
      <c r="X133" s="73">
        <v>1757.0</v>
      </c>
      <c r="Y133" s="73">
        <f t="shared" ref="Y133:AA133" si="660">Y134+Y136+Y139+Y142+Y143</f>
        <v>216772.33</v>
      </c>
      <c r="Z133" s="73">
        <f t="shared" si="660"/>
        <v>0</v>
      </c>
      <c r="AA133" s="73">
        <f t="shared" si="660"/>
        <v>216772.33</v>
      </c>
      <c r="AB133" s="73">
        <f t="shared" ref="AB133:AG133" si="661">J133+P133+V133</f>
        <v>1757</v>
      </c>
      <c r="AC133" s="73">
        <f t="shared" si="661"/>
        <v>0</v>
      </c>
      <c r="AD133" s="73">
        <f t="shared" si="661"/>
        <v>1757</v>
      </c>
      <c r="AE133" s="73">
        <f t="shared" si="661"/>
        <v>226467.1327</v>
      </c>
      <c r="AF133" s="73">
        <f t="shared" si="661"/>
        <v>0</v>
      </c>
      <c r="AG133" s="73">
        <f t="shared" si="661"/>
        <v>226467.1327</v>
      </c>
      <c r="AH133" s="73">
        <v>5956.0</v>
      </c>
      <c r="AI133" s="73">
        <v>0.0</v>
      </c>
      <c r="AJ133" s="73">
        <v>5956.0</v>
      </c>
      <c r="AK133" s="73">
        <f t="shared" ref="AK133:AM133" si="662">AK134+AK136+AK139+AK142+AK143</f>
        <v>28660.01645</v>
      </c>
      <c r="AL133" s="73">
        <f t="shared" si="662"/>
        <v>0</v>
      </c>
      <c r="AM133" s="73">
        <f t="shared" si="662"/>
        <v>28660.01645</v>
      </c>
      <c r="AN133" s="73">
        <f t="shared" ref="AN133:AS133" si="663">AB133+AH133</f>
        <v>7713</v>
      </c>
      <c r="AO133" s="73">
        <f t="shared" si="663"/>
        <v>0</v>
      </c>
      <c r="AP133" s="73">
        <f t="shared" si="663"/>
        <v>7713</v>
      </c>
      <c r="AQ133" s="73">
        <f t="shared" si="663"/>
        <v>255127.1491</v>
      </c>
      <c r="AR133" s="73">
        <f t="shared" si="663"/>
        <v>0</v>
      </c>
      <c r="AS133" s="73">
        <f t="shared" si="663"/>
        <v>255127.1491</v>
      </c>
      <c r="AT133" s="73">
        <v>8935.0</v>
      </c>
      <c r="AU133" s="73">
        <v>0.0</v>
      </c>
      <c r="AV133" s="73">
        <v>8935.0</v>
      </c>
      <c r="AW133" s="73">
        <f t="shared" ref="AW133:AY133" si="664">AW134+AW136+AW139+AW142+AW143</f>
        <v>9209.72639</v>
      </c>
      <c r="AX133" s="73">
        <f t="shared" si="664"/>
        <v>0</v>
      </c>
      <c r="AY133" s="73">
        <f t="shared" si="664"/>
        <v>9209.72639</v>
      </c>
      <c r="AZ133" s="73">
        <f t="shared" ref="AZ133:BE133" si="665">AN133+AT133</f>
        <v>16648</v>
      </c>
      <c r="BA133" s="73">
        <f t="shared" si="665"/>
        <v>0</v>
      </c>
      <c r="BB133" s="73">
        <f t="shared" si="665"/>
        <v>16648</v>
      </c>
      <c r="BC133" s="73">
        <f t="shared" si="665"/>
        <v>264336.8755</v>
      </c>
      <c r="BD133" s="73">
        <f t="shared" si="665"/>
        <v>0</v>
      </c>
      <c r="BE133" s="73">
        <f t="shared" si="665"/>
        <v>264336.8755</v>
      </c>
      <c r="BF133" s="73" t="str">
        <f t="shared" ref="BF133:DY133" si="666">BF141+#REF!+BF142+BF143</f>
        <v>#REF!</v>
      </c>
      <c r="BG133" s="73" t="str">
        <f t="shared" si="666"/>
        <v>#REF!</v>
      </c>
      <c r="BH133" s="73" t="str">
        <f t="shared" si="666"/>
        <v>#REF!</v>
      </c>
      <c r="BI133" s="73" t="str">
        <f t="shared" si="666"/>
        <v>#REF!</v>
      </c>
      <c r="BJ133" s="73" t="str">
        <f t="shared" si="666"/>
        <v>#REF!</v>
      </c>
      <c r="BK133" s="73" t="str">
        <f t="shared" si="666"/>
        <v>#REF!</v>
      </c>
      <c r="BL133" s="73" t="str">
        <f t="shared" si="666"/>
        <v>#REF!</v>
      </c>
      <c r="BM133" s="73" t="str">
        <f t="shared" si="666"/>
        <v>#REF!</v>
      </c>
      <c r="BN133" s="73" t="str">
        <f t="shared" si="666"/>
        <v>#REF!</v>
      </c>
      <c r="BO133" s="73" t="str">
        <f t="shared" si="666"/>
        <v>#REF!</v>
      </c>
      <c r="BP133" s="73" t="str">
        <f t="shared" si="666"/>
        <v>#REF!</v>
      </c>
      <c r="BQ133" s="73" t="str">
        <f t="shared" si="666"/>
        <v>#REF!</v>
      </c>
      <c r="BR133" s="73" t="str">
        <f t="shared" si="666"/>
        <v>#REF!</v>
      </c>
      <c r="BS133" s="73" t="str">
        <f t="shared" si="666"/>
        <v>#REF!</v>
      </c>
      <c r="BT133" s="73" t="str">
        <f t="shared" si="666"/>
        <v>#REF!</v>
      </c>
      <c r="BU133" s="73" t="str">
        <f t="shared" si="666"/>
        <v>#REF!</v>
      </c>
      <c r="BV133" s="73" t="str">
        <f t="shared" si="666"/>
        <v>#REF!</v>
      </c>
      <c r="BW133" s="73" t="str">
        <f t="shared" si="666"/>
        <v>#REF!</v>
      </c>
      <c r="BX133" s="73" t="str">
        <f t="shared" si="666"/>
        <v>#REF!</v>
      </c>
      <c r="BY133" s="73" t="str">
        <f t="shared" si="666"/>
        <v>#REF!</v>
      </c>
      <c r="BZ133" s="73" t="str">
        <f t="shared" si="666"/>
        <v>#REF!</v>
      </c>
      <c r="CA133" s="73" t="str">
        <f t="shared" si="666"/>
        <v>#REF!</v>
      </c>
      <c r="CB133" s="73" t="str">
        <f t="shared" si="666"/>
        <v>#REF!</v>
      </c>
      <c r="CC133" s="73" t="str">
        <f t="shared" si="666"/>
        <v>#REF!</v>
      </c>
      <c r="CD133" s="73" t="str">
        <f t="shared" si="666"/>
        <v>#REF!</v>
      </c>
      <c r="CE133" s="73" t="str">
        <f t="shared" si="666"/>
        <v>#REF!</v>
      </c>
      <c r="CF133" s="73" t="str">
        <f t="shared" si="666"/>
        <v>#REF!</v>
      </c>
      <c r="CG133" s="73" t="str">
        <f t="shared" si="666"/>
        <v>#REF!</v>
      </c>
      <c r="CH133" s="73" t="str">
        <f t="shared" si="666"/>
        <v>#REF!</v>
      </c>
      <c r="CI133" s="73" t="str">
        <f t="shared" si="666"/>
        <v>#REF!</v>
      </c>
      <c r="CJ133" s="73" t="str">
        <f t="shared" si="666"/>
        <v>#REF!</v>
      </c>
      <c r="CK133" s="73" t="str">
        <f t="shared" si="666"/>
        <v>#REF!</v>
      </c>
      <c r="CL133" s="73" t="str">
        <f t="shared" si="666"/>
        <v>#REF!</v>
      </c>
      <c r="CM133" s="73" t="str">
        <f t="shared" si="666"/>
        <v>#REF!</v>
      </c>
      <c r="CN133" s="73" t="str">
        <f t="shared" si="666"/>
        <v>#REF!</v>
      </c>
      <c r="CO133" s="73" t="str">
        <f t="shared" si="666"/>
        <v>#REF!</v>
      </c>
      <c r="CP133" s="73" t="str">
        <f t="shared" si="666"/>
        <v>#REF!</v>
      </c>
      <c r="CQ133" s="73" t="str">
        <f t="shared" si="666"/>
        <v>#REF!</v>
      </c>
      <c r="CR133" s="73" t="str">
        <f t="shared" si="666"/>
        <v>#REF!</v>
      </c>
      <c r="CS133" s="73" t="str">
        <f t="shared" si="666"/>
        <v>#REF!</v>
      </c>
      <c r="CT133" s="73" t="str">
        <f t="shared" si="666"/>
        <v>#REF!</v>
      </c>
      <c r="CU133" s="73" t="str">
        <f t="shared" si="666"/>
        <v>#REF!</v>
      </c>
      <c r="CV133" s="73" t="str">
        <f t="shared" si="666"/>
        <v>#REF!</v>
      </c>
      <c r="CW133" s="73" t="str">
        <f t="shared" si="666"/>
        <v>#REF!</v>
      </c>
      <c r="CX133" s="73" t="str">
        <f t="shared" si="666"/>
        <v>#REF!</v>
      </c>
      <c r="CY133" s="73" t="str">
        <f t="shared" si="666"/>
        <v>#REF!</v>
      </c>
      <c r="CZ133" s="73" t="str">
        <f t="shared" si="666"/>
        <v>#REF!</v>
      </c>
      <c r="DA133" s="73" t="str">
        <f t="shared" si="666"/>
        <v>#REF!</v>
      </c>
      <c r="DB133" s="73" t="str">
        <f t="shared" si="666"/>
        <v>#REF!</v>
      </c>
      <c r="DC133" s="73" t="str">
        <f t="shared" si="666"/>
        <v>#REF!</v>
      </c>
      <c r="DD133" s="73" t="str">
        <f t="shared" si="666"/>
        <v>#REF!</v>
      </c>
      <c r="DE133" s="73" t="str">
        <f t="shared" si="666"/>
        <v>#REF!</v>
      </c>
      <c r="DF133" s="73" t="str">
        <f t="shared" si="666"/>
        <v>#REF!</v>
      </c>
      <c r="DG133" s="73" t="str">
        <f t="shared" si="666"/>
        <v>#REF!</v>
      </c>
      <c r="DH133" s="73" t="str">
        <f t="shared" si="666"/>
        <v>#REF!</v>
      </c>
      <c r="DI133" s="73" t="str">
        <f t="shared" si="666"/>
        <v>#REF!</v>
      </c>
      <c r="DJ133" s="73" t="str">
        <f t="shared" si="666"/>
        <v>#REF!</v>
      </c>
      <c r="DK133" s="73" t="str">
        <f t="shared" si="666"/>
        <v>#REF!</v>
      </c>
      <c r="DL133" s="73" t="str">
        <f t="shared" si="666"/>
        <v>#REF!</v>
      </c>
      <c r="DM133" s="73" t="str">
        <f t="shared" si="666"/>
        <v>#REF!</v>
      </c>
      <c r="DN133" s="73" t="str">
        <f t="shared" si="666"/>
        <v>#REF!</v>
      </c>
      <c r="DO133" s="73" t="str">
        <f t="shared" si="666"/>
        <v>#REF!</v>
      </c>
      <c r="DP133" s="73" t="str">
        <f t="shared" si="666"/>
        <v>#REF!</v>
      </c>
      <c r="DQ133" s="73" t="str">
        <f t="shared" si="666"/>
        <v>#REF!</v>
      </c>
      <c r="DR133" s="73" t="str">
        <f t="shared" si="666"/>
        <v>#REF!</v>
      </c>
      <c r="DS133" s="73" t="str">
        <f t="shared" si="666"/>
        <v>#REF!</v>
      </c>
      <c r="DT133" s="73" t="str">
        <f t="shared" si="666"/>
        <v>#REF!</v>
      </c>
      <c r="DU133" s="74" t="str">
        <f t="shared" si="666"/>
        <v>#REF!</v>
      </c>
      <c r="DV133" s="74" t="str">
        <f t="shared" si="666"/>
        <v>#REF!</v>
      </c>
      <c r="DW133" s="74" t="str">
        <f t="shared" si="666"/>
        <v>#REF!</v>
      </c>
      <c r="DX133" s="74" t="str">
        <f t="shared" si="666"/>
        <v>#REF!</v>
      </c>
      <c r="DY133" s="74" t="str">
        <f t="shared" si="666"/>
        <v>#REF!</v>
      </c>
      <c r="DZ133" s="74"/>
      <c r="EA133" s="76"/>
    </row>
    <row r="134" ht="21.75" customHeight="1">
      <c r="A134" s="64"/>
      <c r="B134" s="70"/>
      <c r="C134" s="71"/>
      <c r="D134" s="71"/>
      <c r="E134" s="71"/>
      <c r="F134" s="78" t="s">
        <v>46</v>
      </c>
      <c r="G134" s="73"/>
      <c r="H134" s="73"/>
      <c r="I134" s="73"/>
      <c r="J134" s="73"/>
      <c r="K134" s="73"/>
      <c r="L134" s="73"/>
      <c r="M134" s="79">
        <f t="shared" ref="M134:O134" si="667">M135</f>
        <v>0</v>
      </c>
      <c r="N134" s="79">
        <f t="shared" si="667"/>
        <v>0</v>
      </c>
      <c r="O134" s="79">
        <f t="shared" si="667"/>
        <v>0</v>
      </c>
      <c r="P134" s="79"/>
      <c r="Q134" s="79"/>
      <c r="R134" s="79"/>
      <c r="S134" s="79">
        <f t="shared" ref="S134:U134" si="668">S135</f>
        <v>0</v>
      </c>
      <c r="T134" s="79">
        <f t="shared" si="668"/>
        <v>0</v>
      </c>
      <c r="U134" s="79">
        <f t="shared" si="668"/>
        <v>0</v>
      </c>
      <c r="V134" s="79"/>
      <c r="W134" s="79"/>
      <c r="X134" s="79"/>
      <c r="Y134" s="79">
        <f t="shared" ref="Y134:AA134" si="669">Y135</f>
        <v>0</v>
      </c>
      <c r="Z134" s="79">
        <f t="shared" si="669"/>
        <v>0</v>
      </c>
      <c r="AA134" s="79">
        <f t="shared" si="669"/>
        <v>0</v>
      </c>
      <c r="AB134" s="79"/>
      <c r="AC134" s="79"/>
      <c r="AD134" s="79"/>
      <c r="AE134" s="79">
        <f t="shared" ref="AE134:AG134" si="670">M134+S134+Y134</f>
        <v>0</v>
      </c>
      <c r="AF134" s="79">
        <f t="shared" si="670"/>
        <v>0</v>
      </c>
      <c r="AG134" s="79">
        <f t="shared" si="670"/>
        <v>0</v>
      </c>
      <c r="AH134" s="73"/>
      <c r="AI134" s="73"/>
      <c r="AJ134" s="73"/>
      <c r="AK134" s="79">
        <f t="shared" ref="AK134:AM134" si="671">AK135</f>
        <v>0</v>
      </c>
      <c r="AL134" s="79">
        <f t="shared" si="671"/>
        <v>0</v>
      </c>
      <c r="AM134" s="79">
        <f t="shared" si="671"/>
        <v>0</v>
      </c>
      <c r="AN134" s="73"/>
      <c r="AO134" s="73"/>
      <c r="AP134" s="73"/>
      <c r="AQ134" s="79">
        <f t="shared" ref="AQ134:AS134" si="672">AE134+AK134</f>
        <v>0</v>
      </c>
      <c r="AR134" s="79">
        <f t="shared" si="672"/>
        <v>0</v>
      </c>
      <c r="AS134" s="79">
        <f t="shared" si="672"/>
        <v>0</v>
      </c>
      <c r="AT134" s="73"/>
      <c r="AU134" s="73"/>
      <c r="AV134" s="73"/>
      <c r="AW134" s="79">
        <v>0.0</v>
      </c>
      <c r="AX134" s="79">
        <v>0.0</v>
      </c>
      <c r="AY134" s="79">
        <v>0.0</v>
      </c>
      <c r="AZ134" s="73"/>
      <c r="BA134" s="73"/>
      <c r="BB134" s="73"/>
      <c r="BC134" s="79">
        <f t="shared" ref="BC134:BE134" si="673">AQ134+AW134</f>
        <v>0</v>
      </c>
      <c r="BD134" s="79">
        <f t="shared" si="673"/>
        <v>0</v>
      </c>
      <c r="BE134" s="79">
        <f t="shared" si="673"/>
        <v>0</v>
      </c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3"/>
      <c r="CO134" s="73"/>
      <c r="CP134" s="73"/>
      <c r="CQ134" s="73"/>
      <c r="CR134" s="73"/>
      <c r="CS134" s="73"/>
      <c r="CT134" s="73"/>
      <c r="CU134" s="73"/>
      <c r="CV134" s="73"/>
      <c r="CW134" s="73"/>
      <c r="CX134" s="73"/>
      <c r="CY134" s="73"/>
      <c r="CZ134" s="73"/>
      <c r="DA134" s="73"/>
      <c r="DB134" s="73"/>
      <c r="DC134" s="73"/>
      <c r="DD134" s="73"/>
      <c r="DE134" s="73"/>
      <c r="DF134" s="73"/>
      <c r="DG134" s="73"/>
      <c r="DH134" s="73"/>
      <c r="DI134" s="73"/>
      <c r="DJ134" s="73"/>
      <c r="DK134" s="73"/>
      <c r="DL134" s="73"/>
      <c r="DM134" s="73"/>
      <c r="DN134" s="73"/>
      <c r="DO134" s="73"/>
      <c r="DP134" s="73"/>
      <c r="DQ134" s="73"/>
      <c r="DR134" s="73"/>
      <c r="DS134" s="73"/>
      <c r="DT134" s="73"/>
      <c r="DU134" s="74"/>
      <c r="DV134" s="74"/>
      <c r="DW134" s="74"/>
      <c r="DX134" s="74"/>
      <c r="DY134" s="74"/>
      <c r="DZ134" s="74"/>
      <c r="EA134" s="76"/>
    </row>
    <row r="135" ht="21.75" customHeight="1">
      <c r="A135" s="64"/>
      <c r="B135" s="70"/>
      <c r="C135" s="71"/>
      <c r="D135" s="71"/>
      <c r="E135" s="71"/>
      <c r="F135" s="81" t="s">
        <v>47</v>
      </c>
      <c r="G135" s="73"/>
      <c r="H135" s="73"/>
      <c r="I135" s="73"/>
      <c r="J135" s="73"/>
      <c r="K135" s="73"/>
      <c r="L135" s="73"/>
      <c r="M135" s="73">
        <f>N135+O135</f>
        <v>0</v>
      </c>
      <c r="N135" s="73">
        <v>0.0</v>
      </c>
      <c r="O135" s="73">
        <v>0.0</v>
      </c>
      <c r="P135" s="73"/>
      <c r="Q135" s="73"/>
      <c r="R135" s="73"/>
      <c r="S135" s="73">
        <f>T135+U135</f>
        <v>0</v>
      </c>
      <c r="T135" s="73">
        <v>0.0</v>
      </c>
      <c r="U135" s="73">
        <v>0.0</v>
      </c>
      <c r="V135" s="73"/>
      <c r="W135" s="73"/>
      <c r="X135" s="73"/>
      <c r="Y135" s="73">
        <f>Z135+AA135</f>
        <v>0</v>
      </c>
      <c r="Z135" s="73">
        <v>0.0</v>
      </c>
      <c r="AA135" s="73">
        <v>0.0</v>
      </c>
      <c r="AB135" s="73"/>
      <c r="AC135" s="73"/>
      <c r="AD135" s="73"/>
      <c r="AE135" s="73">
        <f t="shared" ref="AE135:AG135" si="674">M135+S135+Y135</f>
        <v>0</v>
      </c>
      <c r="AF135" s="73">
        <f t="shared" si="674"/>
        <v>0</v>
      </c>
      <c r="AG135" s="73">
        <f t="shared" si="674"/>
        <v>0</v>
      </c>
      <c r="AH135" s="73"/>
      <c r="AI135" s="73"/>
      <c r="AJ135" s="73"/>
      <c r="AK135" s="73">
        <f>AL135+AM135</f>
        <v>0</v>
      </c>
      <c r="AL135" s="73">
        <v>0.0</v>
      </c>
      <c r="AM135" s="73">
        <v>0.0</v>
      </c>
      <c r="AN135" s="73"/>
      <c r="AO135" s="73"/>
      <c r="AP135" s="73"/>
      <c r="AQ135" s="73">
        <f t="shared" ref="AQ135:AS135" si="675">AE135+AK135</f>
        <v>0</v>
      </c>
      <c r="AR135" s="73">
        <f t="shared" si="675"/>
        <v>0</v>
      </c>
      <c r="AS135" s="73">
        <f t="shared" si="675"/>
        <v>0</v>
      </c>
      <c r="AT135" s="73"/>
      <c r="AU135" s="73"/>
      <c r="AV135" s="73"/>
      <c r="AW135" s="73">
        <v>0.0</v>
      </c>
      <c r="AX135" s="73">
        <v>0.0</v>
      </c>
      <c r="AY135" s="73">
        <v>0.0</v>
      </c>
      <c r="AZ135" s="73"/>
      <c r="BA135" s="73"/>
      <c r="BB135" s="73"/>
      <c r="BC135" s="73">
        <f t="shared" ref="BC135:BE135" si="676">AQ135+AW135</f>
        <v>0</v>
      </c>
      <c r="BD135" s="73">
        <f t="shared" si="676"/>
        <v>0</v>
      </c>
      <c r="BE135" s="73">
        <f t="shared" si="676"/>
        <v>0</v>
      </c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3"/>
      <c r="CO135" s="73"/>
      <c r="CP135" s="73"/>
      <c r="CQ135" s="73"/>
      <c r="CR135" s="73"/>
      <c r="CS135" s="73"/>
      <c r="CT135" s="73"/>
      <c r="CU135" s="73"/>
      <c r="CV135" s="73"/>
      <c r="CW135" s="73"/>
      <c r="CX135" s="73"/>
      <c r="CY135" s="73"/>
      <c r="CZ135" s="73"/>
      <c r="DA135" s="73"/>
      <c r="DB135" s="73"/>
      <c r="DC135" s="73"/>
      <c r="DD135" s="73"/>
      <c r="DE135" s="73"/>
      <c r="DF135" s="73"/>
      <c r="DG135" s="73"/>
      <c r="DH135" s="73"/>
      <c r="DI135" s="73"/>
      <c r="DJ135" s="73"/>
      <c r="DK135" s="73"/>
      <c r="DL135" s="73"/>
      <c r="DM135" s="73"/>
      <c r="DN135" s="73"/>
      <c r="DO135" s="73"/>
      <c r="DP135" s="73"/>
      <c r="DQ135" s="73"/>
      <c r="DR135" s="73"/>
      <c r="DS135" s="73"/>
      <c r="DT135" s="73"/>
      <c r="DU135" s="74"/>
      <c r="DV135" s="74"/>
      <c r="DW135" s="74"/>
      <c r="DX135" s="74"/>
      <c r="DY135" s="74"/>
      <c r="DZ135" s="74"/>
      <c r="EA135" s="76"/>
    </row>
    <row r="136" ht="21.75" customHeight="1">
      <c r="A136" s="64"/>
      <c r="B136" s="70"/>
      <c r="C136" s="71"/>
      <c r="D136" s="71"/>
      <c r="E136" s="71"/>
      <c r="F136" s="78" t="s">
        <v>48</v>
      </c>
      <c r="G136" s="73"/>
      <c r="H136" s="73"/>
      <c r="I136" s="73"/>
      <c r="J136" s="73"/>
      <c r="K136" s="73"/>
      <c r="L136" s="73"/>
      <c r="M136" s="79">
        <f t="shared" ref="M136:O136" si="677">M137+M138</f>
        <v>5593.06748</v>
      </c>
      <c r="N136" s="79">
        <f t="shared" si="677"/>
        <v>0</v>
      </c>
      <c r="O136" s="79">
        <f t="shared" si="677"/>
        <v>5593.06748</v>
      </c>
      <c r="P136" s="79"/>
      <c r="Q136" s="79"/>
      <c r="R136" s="79"/>
      <c r="S136" s="79">
        <f t="shared" ref="S136:U136" si="678">S137+S138</f>
        <v>4015.61254</v>
      </c>
      <c r="T136" s="79">
        <f t="shared" si="678"/>
        <v>0</v>
      </c>
      <c r="U136" s="79">
        <f t="shared" si="678"/>
        <v>4015.61254</v>
      </c>
      <c r="V136" s="79"/>
      <c r="W136" s="79"/>
      <c r="X136" s="79"/>
      <c r="Y136" s="79">
        <f t="shared" ref="Y136:AA136" si="679">Y137+Y138</f>
        <v>3034</v>
      </c>
      <c r="Z136" s="79">
        <f t="shared" si="679"/>
        <v>0</v>
      </c>
      <c r="AA136" s="79">
        <f t="shared" si="679"/>
        <v>3034</v>
      </c>
      <c r="AB136" s="79"/>
      <c r="AC136" s="79"/>
      <c r="AD136" s="79"/>
      <c r="AE136" s="79">
        <f t="shared" ref="AE136:AG136" si="680">M136+S136+Y136</f>
        <v>12642.68002</v>
      </c>
      <c r="AF136" s="79">
        <f t="shared" si="680"/>
        <v>0</v>
      </c>
      <c r="AG136" s="79">
        <f t="shared" si="680"/>
        <v>12642.68002</v>
      </c>
      <c r="AH136" s="73"/>
      <c r="AI136" s="73"/>
      <c r="AJ136" s="73"/>
      <c r="AK136" s="79">
        <f t="shared" ref="AK136:AM136" si="681">AK137+AK138</f>
        <v>3695.43037</v>
      </c>
      <c r="AL136" s="79">
        <f t="shared" si="681"/>
        <v>0</v>
      </c>
      <c r="AM136" s="79">
        <f t="shared" si="681"/>
        <v>3695.43037</v>
      </c>
      <c r="AN136" s="73"/>
      <c r="AO136" s="73"/>
      <c r="AP136" s="73"/>
      <c r="AQ136" s="79">
        <f t="shared" ref="AQ136:AS136" si="682">AE136+AK136</f>
        <v>16338.11039</v>
      </c>
      <c r="AR136" s="79">
        <f t="shared" si="682"/>
        <v>0</v>
      </c>
      <c r="AS136" s="79">
        <f t="shared" si="682"/>
        <v>16338.11039</v>
      </c>
      <c r="AT136" s="73"/>
      <c r="AU136" s="73"/>
      <c r="AV136" s="73"/>
      <c r="AW136" s="79">
        <f t="shared" ref="AW136:AY136" si="683">AW137</f>
        <v>3105.39647</v>
      </c>
      <c r="AX136" s="79">
        <f t="shared" si="683"/>
        <v>0</v>
      </c>
      <c r="AY136" s="79">
        <f t="shared" si="683"/>
        <v>3105.39647</v>
      </c>
      <c r="AZ136" s="73"/>
      <c r="BA136" s="73"/>
      <c r="BB136" s="73"/>
      <c r="BC136" s="79">
        <f t="shared" ref="BC136:BE136" si="684">AQ136+AW136</f>
        <v>19443.50686</v>
      </c>
      <c r="BD136" s="79">
        <f t="shared" si="684"/>
        <v>0</v>
      </c>
      <c r="BE136" s="79">
        <f t="shared" si="684"/>
        <v>19443.50686</v>
      </c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3"/>
      <c r="CO136" s="73"/>
      <c r="CP136" s="73"/>
      <c r="CQ136" s="73"/>
      <c r="CR136" s="73"/>
      <c r="CS136" s="73"/>
      <c r="CT136" s="73"/>
      <c r="CU136" s="73"/>
      <c r="CV136" s="73"/>
      <c r="CW136" s="73"/>
      <c r="CX136" s="73"/>
      <c r="CY136" s="73"/>
      <c r="CZ136" s="73"/>
      <c r="DA136" s="73"/>
      <c r="DB136" s="73"/>
      <c r="DC136" s="73"/>
      <c r="DD136" s="73"/>
      <c r="DE136" s="73"/>
      <c r="DF136" s="73"/>
      <c r="DG136" s="73"/>
      <c r="DH136" s="73"/>
      <c r="DI136" s="73"/>
      <c r="DJ136" s="73"/>
      <c r="DK136" s="73"/>
      <c r="DL136" s="73"/>
      <c r="DM136" s="73"/>
      <c r="DN136" s="73"/>
      <c r="DO136" s="73"/>
      <c r="DP136" s="73"/>
      <c r="DQ136" s="73"/>
      <c r="DR136" s="73"/>
      <c r="DS136" s="73"/>
      <c r="DT136" s="73"/>
      <c r="DU136" s="74"/>
      <c r="DV136" s="74"/>
      <c r="DW136" s="74"/>
      <c r="DX136" s="74"/>
      <c r="DY136" s="74"/>
      <c r="DZ136" s="74"/>
      <c r="EA136" s="82"/>
    </row>
    <row r="137" ht="21.75" customHeight="1">
      <c r="A137" s="64"/>
      <c r="B137" s="70"/>
      <c r="C137" s="71"/>
      <c r="D137" s="71"/>
      <c r="E137" s="71"/>
      <c r="F137" s="81" t="s">
        <v>47</v>
      </c>
      <c r="G137" s="73"/>
      <c r="H137" s="73"/>
      <c r="I137" s="73"/>
      <c r="J137" s="73"/>
      <c r="K137" s="73"/>
      <c r="L137" s="73"/>
      <c r="M137" s="73">
        <f>N137+O137</f>
        <v>5593.06748</v>
      </c>
      <c r="N137" s="73">
        <v>0.0</v>
      </c>
      <c r="O137" s="73">
        <v>5593.06748</v>
      </c>
      <c r="P137" s="73"/>
      <c r="Q137" s="73"/>
      <c r="R137" s="73"/>
      <c r="S137" s="73">
        <f>T137+U137</f>
        <v>4015.61254</v>
      </c>
      <c r="T137" s="73">
        <v>0.0</v>
      </c>
      <c r="U137" s="73">
        <v>4015.61254</v>
      </c>
      <c r="V137" s="73"/>
      <c r="W137" s="73"/>
      <c r="X137" s="73"/>
      <c r="Y137" s="73">
        <v>3054.64855</v>
      </c>
      <c r="Z137" s="73">
        <v>0.0</v>
      </c>
      <c r="AA137" s="73">
        <v>3054.64855</v>
      </c>
      <c r="AB137" s="73"/>
      <c r="AC137" s="73"/>
      <c r="AD137" s="73"/>
      <c r="AE137" s="73">
        <f t="shared" ref="AE137:AG137" si="685">M137+S137+Y137</f>
        <v>12663.32857</v>
      </c>
      <c r="AF137" s="73">
        <f t="shared" si="685"/>
        <v>0</v>
      </c>
      <c r="AG137" s="73">
        <f t="shared" si="685"/>
        <v>12663.32857</v>
      </c>
      <c r="AH137" s="73"/>
      <c r="AI137" s="73"/>
      <c r="AJ137" s="73"/>
      <c r="AK137" s="73">
        <v>3704.4604</v>
      </c>
      <c r="AL137" s="73">
        <v>0.0</v>
      </c>
      <c r="AM137" s="73">
        <v>3704.4604</v>
      </c>
      <c r="AN137" s="73"/>
      <c r="AO137" s="73"/>
      <c r="AP137" s="73"/>
      <c r="AQ137" s="73">
        <f t="shared" ref="AQ137:AS137" si="686">AE137+AK137</f>
        <v>16367.78897</v>
      </c>
      <c r="AR137" s="73">
        <f t="shared" si="686"/>
        <v>0</v>
      </c>
      <c r="AS137" s="73">
        <f t="shared" si="686"/>
        <v>16367.78897</v>
      </c>
      <c r="AT137" s="73"/>
      <c r="AU137" s="73"/>
      <c r="AV137" s="73"/>
      <c r="AW137" s="73">
        <f>1084.39809+2020.99838</f>
        <v>3105.39647</v>
      </c>
      <c r="AX137" s="73">
        <v>0.0</v>
      </c>
      <c r="AY137" s="73">
        <f>1084.39809+2020.99838</f>
        <v>3105.39647</v>
      </c>
      <c r="AZ137" s="73"/>
      <c r="BA137" s="73"/>
      <c r="BB137" s="73"/>
      <c r="BC137" s="73">
        <f t="shared" ref="BC137:BE137" si="687">AQ137+AW137</f>
        <v>19473.18544</v>
      </c>
      <c r="BD137" s="73">
        <f t="shared" si="687"/>
        <v>0</v>
      </c>
      <c r="BE137" s="73">
        <f t="shared" si="687"/>
        <v>19473.18544</v>
      </c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3"/>
      <c r="CO137" s="73"/>
      <c r="CP137" s="73"/>
      <c r="CQ137" s="73"/>
      <c r="CR137" s="73"/>
      <c r="CS137" s="73"/>
      <c r="CT137" s="73"/>
      <c r="CU137" s="73"/>
      <c r="CV137" s="73"/>
      <c r="CW137" s="73"/>
      <c r="CX137" s="73"/>
      <c r="CY137" s="73"/>
      <c r="CZ137" s="73"/>
      <c r="DA137" s="73"/>
      <c r="DB137" s="73"/>
      <c r="DC137" s="73"/>
      <c r="DD137" s="73"/>
      <c r="DE137" s="73"/>
      <c r="DF137" s="73"/>
      <c r="DG137" s="73"/>
      <c r="DH137" s="73"/>
      <c r="DI137" s="73"/>
      <c r="DJ137" s="73"/>
      <c r="DK137" s="73"/>
      <c r="DL137" s="73"/>
      <c r="DM137" s="73"/>
      <c r="DN137" s="73"/>
      <c r="DO137" s="73"/>
      <c r="DP137" s="73"/>
      <c r="DQ137" s="73"/>
      <c r="DR137" s="73"/>
      <c r="DS137" s="73"/>
      <c r="DT137" s="73"/>
      <c r="DU137" s="74"/>
      <c r="DV137" s="74"/>
      <c r="DW137" s="74"/>
      <c r="DX137" s="74"/>
      <c r="DY137" s="74"/>
      <c r="DZ137" s="74"/>
      <c r="EA137" s="76" t="s">
        <v>123</v>
      </c>
    </row>
    <row r="138" ht="21.75" customHeight="1">
      <c r="A138" s="64"/>
      <c r="B138" s="70"/>
      <c r="C138" s="71"/>
      <c r="D138" s="71"/>
      <c r="E138" s="71"/>
      <c r="F138" s="81" t="s">
        <v>50</v>
      </c>
      <c r="G138" s="73"/>
      <c r="H138" s="73"/>
      <c r="I138" s="73"/>
      <c r="J138" s="73"/>
      <c r="K138" s="73"/>
      <c r="L138" s="73"/>
      <c r="M138" s="73">
        <v>0.0</v>
      </c>
      <c r="N138" s="73">
        <v>0.0</v>
      </c>
      <c r="O138" s="73">
        <v>0.0</v>
      </c>
      <c r="P138" s="73"/>
      <c r="Q138" s="73"/>
      <c r="R138" s="73"/>
      <c r="S138" s="73">
        <v>0.0</v>
      </c>
      <c r="T138" s="73">
        <v>0.0</v>
      </c>
      <c r="U138" s="73">
        <v>0.0</v>
      </c>
      <c r="V138" s="73"/>
      <c r="W138" s="73"/>
      <c r="X138" s="73"/>
      <c r="Y138" s="73">
        <v>-20.648549999999886</v>
      </c>
      <c r="Z138" s="73">
        <v>0.0</v>
      </c>
      <c r="AA138" s="73">
        <v>-20.648549999999886</v>
      </c>
      <c r="AB138" s="73"/>
      <c r="AC138" s="73"/>
      <c r="AD138" s="73"/>
      <c r="AE138" s="73">
        <f t="shared" ref="AE138:AG138" si="688">M138+S138+Y138</f>
        <v>-20.64855</v>
      </c>
      <c r="AF138" s="73">
        <f t="shared" si="688"/>
        <v>0</v>
      </c>
      <c r="AG138" s="73">
        <f t="shared" si="688"/>
        <v>-20.64855</v>
      </c>
      <c r="AH138" s="73"/>
      <c r="AI138" s="73"/>
      <c r="AJ138" s="73"/>
      <c r="AK138" s="73">
        <v>-9.030029999999442</v>
      </c>
      <c r="AL138" s="73">
        <v>0.0</v>
      </c>
      <c r="AM138" s="73">
        <v>-9.030029999999442</v>
      </c>
      <c r="AN138" s="73"/>
      <c r="AO138" s="73"/>
      <c r="AP138" s="73"/>
      <c r="AQ138" s="73">
        <f t="shared" ref="AQ138:AS138" si="689">AE138+AK138</f>
        <v>-29.67858</v>
      </c>
      <c r="AR138" s="73">
        <f t="shared" si="689"/>
        <v>0</v>
      </c>
      <c r="AS138" s="73">
        <f t="shared" si="689"/>
        <v>-29.67858</v>
      </c>
      <c r="AT138" s="73"/>
      <c r="AU138" s="73"/>
      <c r="AV138" s="73"/>
      <c r="AW138" s="73"/>
      <c r="AX138" s="73"/>
      <c r="AY138" s="73"/>
      <c r="AZ138" s="73"/>
      <c r="BA138" s="73"/>
      <c r="BB138" s="73"/>
      <c r="BC138" s="73">
        <f t="shared" ref="BC138:BE138" si="690">AQ138+AW138</f>
        <v>-29.67858</v>
      </c>
      <c r="BD138" s="73">
        <f t="shared" si="690"/>
        <v>0</v>
      </c>
      <c r="BE138" s="73">
        <f t="shared" si="690"/>
        <v>-29.67858</v>
      </c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3"/>
      <c r="CO138" s="73"/>
      <c r="CP138" s="73"/>
      <c r="CQ138" s="73"/>
      <c r="CR138" s="73"/>
      <c r="CS138" s="73"/>
      <c r="CT138" s="73"/>
      <c r="CU138" s="73"/>
      <c r="CV138" s="73"/>
      <c r="CW138" s="73"/>
      <c r="CX138" s="73"/>
      <c r="CY138" s="73"/>
      <c r="CZ138" s="73"/>
      <c r="DA138" s="73"/>
      <c r="DB138" s="73"/>
      <c r="DC138" s="73"/>
      <c r="DD138" s="73"/>
      <c r="DE138" s="73"/>
      <c r="DF138" s="73"/>
      <c r="DG138" s="73"/>
      <c r="DH138" s="73"/>
      <c r="DI138" s="73"/>
      <c r="DJ138" s="73"/>
      <c r="DK138" s="73"/>
      <c r="DL138" s="73"/>
      <c r="DM138" s="73"/>
      <c r="DN138" s="73"/>
      <c r="DO138" s="73"/>
      <c r="DP138" s="73"/>
      <c r="DQ138" s="73"/>
      <c r="DR138" s="73"/>
      <c r="DS138" s="73"/>
      <c r="DT138" s="73"/>
      <c r="DU138" s="74"/>
      <c r="DV138" s="74"/>
      <c r="DW138" s="74"/>
      <c r="DX138" s="74"/>
      <c r="DY138" s="74"/>
      <c r="DZ138" s="74"/>
      <c r="EA138" s="76"/>
    </row>
    <row r="139" ht="21.75" customHeight="1">
      <c r="A139" s="64"/>
      <c r="B139" s="70"/>
      <c r="C139" s="71"/>
      <c r="D139" s="71"/>
      <c r="E139" s="71"/>
      <c r="F139" s="78" t="s">
        <v>51</v>
      </c>
      <c r="G139" s="73"/>
      <c r="H139" s="73"/>
      <c r="I139" s="73"/>
      <c r="J139" s="73"/>
      <c r="K139" s="73"/>
      <c r="L139" s="73"/>
      <c r="M139" s="79">
        <f t="shared" ref="M139:O139" si="691">M140+M141</f>
        <v>84.93602</v>
      </c>
      <c r="N139" s="79">
        <f t="shared" si="691"/>
        <v>0</v>
      </c>
      <c r="O139" s="79">
        <f t="shared" si="691"/>
        <v>84.93602</v>
      </c>
      <c r="P139" s="73"/>
      <c r="Q139" s="73"/>
      <c r="R139" s="73"/>
      <c r="S139" s="79">
        <f t="shared" ref="S139:U139" si="692">S140+S141</f>
        <v>1.18663</v>
      </c>
      <c r="T139" s="79">
        <f t="shared" si="692"/>
        <v>0</v>
      </c>
      <c r="U139" s="79">
        <f t="shared" si="692"/>
        <v>1.18663</v>
      </c>
      <c r="V139" s="73"/>
      <c r="W139" s="73"/>
      <c r="X139" s="73"/>
      <c r="Y139" s="79">
        <f t="shared" ref="Y139:AA139" si="693">Y140+Y141</f>
        <v>1788.769</v>
      </c>
      <c r="Z139" s="79">
        <f t="shared" si="693"/>
        <v>0</v>
      </c>
      <c r="AA139" s="79">
        <f t="shared" si="693"/>
        <v>1788.769</v>
      </c>
      <c r="AB139" s="73"/>
      <c r="AC139" s="73"/>
      <c r="AD139" s="73"/>
      <c r="AE139" s="79">
        <f t="shared" ref="AE139:AG139" si="694">M139+S139+Y139</f>
        <v>1874.89165</v>
      </c>
      <c r="AF139" s="79">
        <f t="shared" si="694"/>
        <v>0</v>
      </c>
      <c r="AG139" s="79">
        <f t="shared" si="694"/>
        <v>1874.89165</v>
      </c>
      <c r="AH139" s="73"/>
      <c r="AI139" s="73"/>
      <c r="AJ139" s="73"/>
      <c r="AK139" s="79">
        <f t="shared" ref="AK139:AM139" si="695">AK140+AK141</f>
        <v>0</v>
      </c>
      <c r="AL139" s="79">
        <f t="shared" si="695"/>
        <v>0</v>
      </c>
      <c r="AM139" s="79">
        <f t="shared" si="695"/>
        <v>0</v>
      </c>
      <c r="AN139" s="73"/>
      <c r="AO139" s="73"/>
      <c r="AP139" s="73"/>
      <c r="AQ139" s="79">
        <f t="shared" ref="AQ139:AS139" si="696">AE139+AK139</f>
        <v>1874.89165</v>
      </c>
      <c r="AR139" s="79">
        <f t="shared" si="696"/>
        <v>0</v>
      </c>
      <c r="AS139" s="79">
        <f t="shared" si="696"/>
        <v>1874.89165</v>
      </c>
      <c r="AT139" s="73"/>
      <c r="AU139" s="73"/>
      <c r="AV139" s="73"/>
      <c r="AW139" s="79">
        <v>0.0</v>
      </c>
      <c r="AX139" s="79">
        <v>0.0</v>
      </c>
      <c r="AY139" s="79">
        <v>0.0</v>
      </c>
      <c r="AZ139" s="73"/>
      <c r="BA139" s="73"/>
      <c r="BB139" s="73"/>
      <c r="BC139" s="79">
        <f t="shared" ref="BC139:BE139" si="697">AQ139+AW139</f>
        <v>1874.89165</v>
      </c>
      <c r="BD139" s="79">
        <f t="shared" si="697"/>
        <v>0</v>
      </c>
      <c r="BE139" s="79">
        <f t="shared" si="697"/>
        <v>1874.89165</v>
      </c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3"/>
      <c r="CO139" s="73"/>
      <c r="CP139" s="73"/>
      <c r="CQ139" s="73"/>
      <c r="CR139" s="73"/>
      <c r="CS139" s="73"/>
      <c r="CT139" s="73"/>
      <c r="CU139" s="73"/>
      <c r="CV139" s="73"/>
      <c r="CW139" s="73"/>
      <c r="CX139" s="73"/>
      <c r="CY139" s="73"/>
      <c r="CZ139" s="73"/>
      <c r="DA139" s="73"/>
      <c r="DB139" s="73"/>
      <c r="DC139" s="73"/>
      <c r="DD139" s="73"/>
      <c r="DE139" s="73"/>
      <c r="DF139" s="73"/>
      <c r="DG139" s="73"/>
      <c r="DH139" s="73"/>
      <c r="DI139" s="73"/>
      <c r="DJ139" s="73"/>
      <c r="DK139" s="73"/>
      <c r="DL139" s="73"/>
      <c r="DM139" s="73"/>
      <c r="DN139" s="73"/>
      <c r="DO139" s="73"/>
      <c r="DP139" s="73"/>
      <c r="DQ139" s="73"/>
      <c r="DR139" s="73"/>
      <c r="DS139" s="73"/>
      <c r="DT139" s="73"/>
      <c r="DU139" s="74"/>
      <c r="DV139" s="74"/>
      <c r="DW139" s="74"/>
      <c r="DX139" s="74"/>
      <c r="DY139" s="74"/>
      <c r="DZ139" s="74"/>
      <c r="EA139" s="76"/>
    </row>
    <row r="140" ht="21.75" customHeight="1">
      <c r="A140" s="64"/>
      <c r="B140" s="70"/>
      <c r="C140" s="71"/>
      <c r="D140" s="71"/>
      <c r="E140" s="71"/>
      <c r="F140" s="81" t="s">
        <v>47</v>
      </c>
      <c r="G140" s="73"/>
      <c r="H140" s="73"/>
      <c r="I140" s="73"/>
      <c r="J140" s="73"/>
      <c r="K140" s="73"/>
      <c r="L140" s="73"/>
      <c r="M140" s="73">
        <f>N140+O140</f>
        <v>84.93602</v>
      </c>
      <c r="N140" s="73">
        <v>0.0</v>
      </c>
      <c r="O140" s="73">
        <v>84.93602</v>
      </c>
      <c r="P140" s="73"/>
      <c r="Q140" s="73"/>
      <c r="R140" s="73"/>
      <c r="S140" s="73">
        <f>T140+U140</f>
        <v>1.18663</v>
      </c>
      <c r="T140" s="73">
        <v>0.0</v>
      </c>
      <c r="U140" s="73">
        <v>1.18663</v>
      </c>
      <c r="V140" s="73"/>
      <c r="W140" s="73"/>
      <c r="X140" s="73"/>
      <c r="Y140" s="73">
        <f>Z140+AA140</f>
        <v>1788.769</v>
      </c>
      <c r="Z140" s="73">
        <v>0.0</v>
      </c>
      <c r="AA140" s="73">
        <v>1788.769</v>
      </c>
      <c r="AB140" s="73"/>
      <c r="AC140" s="73"/>
      <c r="AD140" s="73"/>
      <c r="AE140" s="73">
        <f t="shared" ref="AE140:AG140" si="698">M140+S140+Y140</f>
        <v>1874.89165</v>
      </c>
      <c r="AF140" s="73">
        <f t="shared" si="698"/>
        <v>0</v>
      </c>
      <c r="AG140" s="73">
        <f t="shared" si="698"/>
        <v>1874.89165</v>
      </c>
      <c r="AH140" s="73"/>
      <c r="AI140" s="73"/>
      <c r="AJ140" s="73"/>
      <c r="AK140" s="73">
        <v>0.0</v>
      </c>
      <c r="AL140" s="73">
        <v>0.0</v>
      </c>
      <c r="AM140" s="73">
        <v>0.0</v>
      </c>
      <c r="AN140" s="73"/>
      <c r="AO140" s="73"/>
      <c r="AP140" s="73"/>
      <c r="AQ140" s="73">
        <f t="shared" ref="AQ140:AS140" si="699">AE140+AK140</f>
        <v>1874.89165</v>
      </c>
      <c r="AR140" s="73">
        <f t="shared" si="699"/>
        <v>0</v>
      </c>
      <c r="AS140" s="73">
        <f t="shared" si="699"/>
        <v>1874.89165</v>
      </c>
      <c r="AT140" s="73"/>
      <c r="AU140" s="73"/>
      <c r="AV140" s="73"/>
      <c r="AW140" s="73">
        <v>0.0</v>
      </c>
      <c r="AX140" s="73">
        <v>0.0</v>
      </c>
      <c r="AY140" s="73">
        <v>0.0</v>
      </c>
      <c r="AZ140" s="73"/>
      <c r="BA140" s="73"/>
      <c r="BB140" s="73"/>
      <c r="BC140" s="73">
        <f t="shared" ref="BC140:BE140" si="700">AQ140+AW140</f>
        <v>1874.89165</v>
      </c>
      <c r="BD140" s="73">
        <f t="shared" si="700"/>
        <v>0</v>
      </c>
      <c r="BE140" s="73">
        <f t="shared" si="700"/>
        <v>1874.89165</v>
      </c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3"/>
      <c r="CO140" s="73"/>
      <c r="CP140" s="73"/>
      <c r="CQ140" s="73"/>
      <c r="CR140" s="73"/>
      <c r="CS140" s="73"/>
      <c r="CT140" s="73"/>
      <c r="CU140" s="73"/>
      <c r="CV140" s="73"/>
      <c r="CW140" s="73"/>
      <c r="CX140" s="73"/>
      <c r="CY140" s="73"/>
      <c r="CZ140" s="73"/>
      <c r="DA140" s="73"/>
      <c r="DB140" s="73"/>
      <c r="DC140" s="73"/>
      <c r="DD140" s="73"/>
      <c r="DE140" s="73"/>
      <c r="DF140" s="73"/>
      <c r="DG140" s="73"/>
      <c r="DH140" s="73"/>
      <c r="DI140" s="73"/>
      <c r="DJ140" s="73"/>
      <c r="DK140" s="73"/>
      <c r="DL140" s="73"/>
      <c r="DM140" s="73"/>
      <c r="DN140" s="73"/>
      <c r="DO140" s="73"/>
      <c r="DP140" s="73"/>
      <c r="DQ140" s="73"/>
      <c r="DR140" s="73"/>
      <c r="DS140" s="73"/>
      <c r="DT140" s="73"/>
      <c r="DU140" s="74"/>
      <c r="DV140" s="74"/>
      <c r="DW140" s="74"/>
      <c r="DX140" s="74"/>
      <c r="DY140" s="74"/>
      <c r="DZ140" s="74"/>
      <c r="EA140" s="76"/>
    </row>
    <row r="141" ht="21.75" customHeight="1">
      <c r="A141" s="64"/>
      <c r="B141" s="70"/>
      <c r="C141" s="71"/>
      <c r="D141" s="71"/>
      <c r="E141" s="71"/>
      <c r="F141" s="81" t="s">
        <v>52</v>
      </c>
      <c r="G141" s="73"/>
      <c r="H141" s="73"/>
      <c r="I141" s="73"/>
      <c r="J141" s="73"/>
      <c r="K141" s="73"/>
      <c r="L141" s="73"/>
      <c r="M141" s="73">
        <v>0.0</v>
      </c>
      <c r="N141" s="73">
        <v>0.0</v>
      </c>
      <c r="O141" s="73">
        <v>0.0</v>
      </c>
      <c r="P141" s="73"/>
      <c r="Q141" s="73"/>
      <c r="R141" s="73"/>
      <c r="S141" s="73">
        <v>0.0</v>
      </c>
      <c r="T141" s="73">
        <v>0.0</v>
      </c>
      <c r="U141" s="73">
        <v>0.0</v>
      </c>
      <c r="V141" s="73"/>
      <c r="W141" s="73"/>
      <c r="X141" s="73"/>
      <c r="Y141" s="73">
        <v>0.0</v>
      </c>
      <c r="Z141" s="73">
        <v>0.0</v>
      </c>
      <c r="AA141" s="73">
        <v>0.0</v>
      </c>
      <c r="AB141" s="73"/>
      <c r="AC141" s="73"/>
      <c r="AD141" s="73"/>
      <c r="AE141" s="73">
        <f t="shared" ref="AE141:AG141" si="701">M141+S141+Y141</f>
        <v>0</v>
      </c>
      <c r="AF141" s="73">
        <f t="shared" si="701"/>
        <v>0</v>
      </c>
      <c r="AG141" s="73">
        <f t="shared" si="701"/>
        <v>0</v>
      </c>
      <c r="AH141" s="73"/>
      <c r="AI141" s="73"/>
      <c r="AJ141" s="73"/>
      <c r="AK141" s="73">
        <f t="shared" ref="AK141:AK143" si="705">AL141+AM141</f>
        <v>0</v>
      </c>
      <c r="AL141" s="73">
        <v>0.0</v>
      </c>
      <c r="AM141" s="73">
        <v>0.0</v>
      </c>
      <c r="AN141" s="73"/>
      <c r="AO141" s="73"/>
      <c r="AP141" s="73"/>
      <c r="AQ141" s="73">
        <f t="shared" ref="AQ141:AS141" si="702">AE141+AK141</f>
        <v>0</v>
      </c>
      <c r="AR141" s="73">
        <f t="shared" si="702"/>
        <v>0</v>
      </c>
      <c r="AS141" s="73">
        <f t="shared" si="702"/>
        <v>0</v>
      </c>
      <c r="AT141" s="73"/>
      <c r="AU141" s="73"/>
      <c r="AV141" s="73"/>
      <c r="AW141" s="73">
        <v>0.0</v>
      </c>
      <c r="AX141" s="73">
        <v>0.0</v>
      </c>
      <c r="AY141" s="73">
        <v>0.0</v>
      </c>
      <c r="AZ141" s="73"/>
      <c r="BA141" s="73"/>
      <c r="BB141" s="73"/>
      <c r="BC141" s="73">
        <f t="shared" ref="BC141:BE141" si="703">AQ141+AW141</f>
        <v>0</v>
      </c>
      <c r="BD141" s="73">
        <f t="shared" si="703"/>
        <v>0</v>
      </c>
      <c r="BE141" s="73">
        <f t="shared" si="703"/>
        <v>0</v>
      </c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3"/>
      <c r="CO141" s="73"/>
      <c r="CP141" s="73"/>
      <c r="CQ141" s="73"/>
      <c r="CR141" s="73"/>
      <c r="CS141" s="73"/>
      <c r="CT141" s="73"/>
      <c r="CU141" s="73"/>
      <c r="CV141" s="73"/>
      <c r="CW141" s="73"/>
      <c r="CX141" s="73"/>
      <c r="CY141" s="73"/>
      <c r="CZ141" s="73"/>
      <c r="DA141" s="73"/>
      <c r="DB141" s="73"/>
      <c r="DC141" s="73"/>
      <c r="DD141" s="73"/>
      <c r="DE141" s="73"/>
      <c r="DF141" s="73"/>
      <c r="DG141" s="73"/>
      <c r="DH141" s="73"/>
      <c r="DI141" s="73"/>
      <c r="DJ141" s="73"/>
      <c r="DK141" s="73"/>
      <c r="DL141" s="73"/>
      <c r="DM141" s="73"/>
      <c r="DN141" s="73"/>
      <c r="DO141" s="73"/>
      <c r="DP141" s="73"/>
      <c r="DQ141" s="73"/>
      <c r="DR141" s="73"/>
      <c r="DS141" s="73"/>
      <c r="DT141" s="73"/>
      <c r="DU141" s="74"/>
      <c r="DV141" s="74"/>
      <c r="DW141" s="72"/>
      <c r="DX141" s="72"/>
      <c r="DY141" s="72"/>
      <c r="DZ141" s="96"/>
      <c r="EA141" s="76"/>
    </row>
    <row r="142" ht="21.75" customHeight="1">
      <c r="A142" s="64"/>
      <c r="B142" s="70"/>
      <c r="C142" s="71"/>
      <c r="D142" s="71"/>
      <c r="E142" s="71"/>
      <c r="F142" s="78" t="s">
        <v>53</v>
      </c>
      <c r="G142" s="73"/>
      <c r="H142" s="73"/>
      <c r="I142" s="73"/>
      <c r="J142" s="73"/>
      <c r="K142" s="73"/>
      <c r="L142" s="73"/>
      <c r="M142" s="79">
        <f t="shared" ref="M142:M143" si="708">N142+O142</f>
        <v>0</v>
      </c>
      <c r="N142" s="79">
        <v>0.0</v>
      </c>
      <c r="O142" s="79">
        <v>0.0</v>
      </c>
      <c r="P142" s="79"/>
      <c r="Q142" s="79"/>
      <c r="R142" s="79"/>
      <c r="S142" s="79">
        <f t="shared" ref="S142:S143" si="709">T142+U142</f>
        <v>0</v>
      </c>
      <c r="T142" s="79">
        <v>0.0</v>
      </c>
      <c r="U142" s="79">
        <v>0.0</v>
      </c>
      <c r="V142" s="79"/>
      <c r="W142" s="79"/>
      <c r="X142" s="79"/>
      <c r="Y142" s="79">
        <f t="shared" ref="Y142:Y143" si="710">Z142+AA142</f>
        <v>211949.561</v>
      </c>
      <c r="Z142" s="79">
        <v>0.0</v>
      </c>
      <c r="AA142" s="79">
        <v>211949.561</v>
      </c>
      <c r="AB142" s="79"/>
      <c r="AC142" s="79"/>
      <c r="AD142" s="79"/>
      <c r="AE142" s="79">
        <f t="shared" ref="AE142:AG142" si="704">M142+S142+Y142</f>
        <v>211949.561</v>
      </c>
      <c r="AF142" s="79">
        <f t="shared" si="704"/>
        <v>0</v>
      </c>
      <c r="AG142" s="79">
        <f t="shared" si="704"/>
        <v>211949.561</v>
      </c>
      <c r="AH142" s="73"/>
      <c r="AI142" s="73"/>
      <c r="AJ142" s="73"/>
      <c r="AK142" s="79">
        <f t="shared" si="705"/>
        <v>24964.58608</v>
      </c>
      <c r="AL142" s="79">
        <v>0.0</v>
      </c>
      <c r="AM142" s="79">
        <v>24964.58608</v>
      </c>
      <c r="AN142" s="73"/>
      <c r="AO142" s="73"/>
      <c r="AP142" s="73"/>
      <c r="AQ142" s="79">
        <f t="shared" ref="AQ142:AS142" si="706">AE142+AK142</f>
        <v>236914.1471</v>
      </c>
      <c r="AR142" s="79">
        <f t="shared" si="706"/>
        <v>0</v>
      </c>
      <c r="AS142" s="79">
        <f t="shared" si="706"/>
        <v>236914.1471</v>
      </c>
      <c r="AT142" s="73"/>
      <c r="AU142" s="73"/>
      <c r="AV142" s="73"/>
      <c r="AW142" s="79">
        <v>0.0</v>
      </c>
      <c r="AX142" s="79">
        <v>0.0</v>
      </c>
      <c r="AY142" s="79">
        <v>0.0</v>
      </c>
      <c r="AZ142" s="73"/>
      <c r="BA142" s="73"/>
      <c r="BB142" s="73"/>
      <c r="BC142" s="79">
        <f t="shared" ref="BC142:BE142" si="707">AQ142+AW142</f>
        <v>236914.1471</v>
      </c>
      <c r="BD142" s="79">
        <f t="shared" si="707"/>
        <v>0</v>
      </c>
      <c r="BE142" s="79">
        <f t="shared" si="707"/>
        <v>236914.1471</v>
      </c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3"/>
      <c r="CO142" s="73"/>
      <c r="CP142" s="73"/>
      <c r="CQ142" s="73"/>
      <c r="CR142" s="73"/>
      <c r="CS142" s="73"/>
      <c r="CT142" s="73"/>
      <c r="CU142" s="73"/>
      <c r="CV142" s="73"/>
      <c r="CW142" s="73"/>
      <c r="CX142" s="73"/>
      <c r="CY142" s="73"/>
      <c r="CZ142" s="73"/>
      <c r="DA142" s="73"/>
      <c r="DB142" s="73"/>
      <c r="DC142" s="73"/>
      <c r="DD142" s="73"/>
      <c r="DE142" s="73"/>
      <c r="DF142" s="73"/>
      <c r="DG142" s="73"/>
      <c r="DH142" s="73"/>
      <c r="DI142" s="73"/>
      <c r="DJ142" s="73"/>
      <c r="DK142" s="73"/>
      <c r="DL142" s="73"/>
      <c r="DM142" s="73"/>
      <c r="DN142" s="73"/>
      <c r="DO142" s="73"/>
      <c r="DP142" s="73"/>
      <c r="DQ142" s="73"/>
      <c r="DR142" s="73"/>
      <c r="DS142" s="73"/>
      <c r="DT142" s="73"/>
      <c r="DU142" s="74"/>
      <c r="DV142" s="74"/>
      <c r="DW142" s="72"/>
      <c r="DX142" s="72"/>
      <c r="DY142" s="72"/>
      <c r="DZ142" s="72"/>
      <c r="EA142" s="97" t="s">
        <v>124</v>
      </c>
    </row>
    <row r="143" ht="21.75" customHeight="1">
      <c r="A143" s="64"/>
      <c r="B143" s="92"/>
      <c r="C143" s="72"/>
      <c r="D143" s="71"/>
      <c r="E143" s="71"/>
      <c r="F143" s="78" t="s">
        <v>55</v>
      </c>
      <c r="G143" s="73"/>
      <c r="H143" s="73"/>
      <c r="I143" s="73"/>
      <c r="J143" s="73"/>
      <c r="K143" s="73"/>
      <c r="L143" s="73"/>
      <c r="M143" s="79">
        <f t="shared" si="708"/>
        <v>0</v>
      </c>
      <c r="N143" s="79">
        <v>0.0</v>
      </c>
      <c r="O143" s="79">
        <v>0.0</v>
      </c>
      <c r="P143" s="79"/>
      <c r="Q143" s="79"/>
      <c r="R143" s="79"/>
      <c r="S143" s="79">
        <f t="shared" si="709"/>
        <v>0</v>
      </c>
      <c r="T143" s="79">
        <v>0.0</v>
      </c>
      <c r="U143" s="79">
        <v>0.0</v>
      </c>
      <c r="V143" s="79"/>
      <c r="W143" s="79"/>
      <c r="X143" s="79"/>
      <c r="Y143" s="79">
        <f t="shared" si="710"/>
        <v>0</v>
      </c>
      <c r="Z143" s="79">
        <v>0.0</v>
      </c>
      <c r="AA143" s="79">
        <v>0.0</v>
      </c>
      <c r="AB143" s="79"/>
      <c r="AC143" s="79"/>
      <c r="AD143" s="79"/>
      <c r="AE143" s="79">
        <f t="shared" ref="AE143:AG143" si="711">M143+S143+Y143</f>
        <v>0</v>
      </c>
      <c r="AF143" s="79">
        <f t="shared" si="711"/>
        <v>0</v>
      </c>
      <c r="AG143" s="79">
        <f t="shared" si="711"/>
        <v>0</v>
      </c>
      <c r="AH143" s="73"/>
      <c r="AI143" s="73"/>
      <c r="AJ143" s="73"/>
      <c r="AK143" s="79">
        <f t="shared" si="705"/>
        <v>0</v>
      </c>
      <c r="AL143" s="79">
        <v>0.0</v>
      </c>
      <c r="AM143" s="79">
        <v>0.0</v>
      </c>
      <c r="AN143" s="73"/>
      <c r="AO143" s="73"/>
      <c r="AP143" s="73"/>
      <c r="AQ143" s="79">
        <f t="shared" ref="AQ143:AS143" si="712">AE143+AK143</f>
        <v>0</v>
      </c>
      <c r="AR143" s="79">
        <f t="shared" si="712"/>
        <v>0</v>
      </c>
      <c r="AS143" s="79">
        <f t="shared" si="712"/>
        <v>0</v>
      </c>
      <c r="AT143" s="73"/>
      <c r="AU143" s="73"/>
      <c r="AV143" s="73"/>
      <c r="AW143" s="79">
        <v>6104.32992</v>
      </c>
      <c r="AX143" s="79">
        <v>0.0</v>
      </c>
      <c r="AY143" s="79">
        <v>6104.32992</v>
      </c>
      <c r="AZ143" s="73"/>
      <c r="BA143" s="73"/>
      <c r="BB143" s="73"/>
      <c r="BC143" s="79">
        <f t="shared" ref="BC143:BE143" si="713">AQ143+AW143</f>
        <v>6104.32992</v>
      </c>
      <c r="BD143" s="79">
        <f t="shared" si="713"/>
        <v>0</v>
      </c>
      <c r="BE143" s="79">
        <f t="shared" si="713"/>
        <v>6104.32992</v>
      </c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3"/>
      <c r="CO143" s="73"/>
      <c r="CP143" s="73"/>
      <c r="CQ143" s="73"/>
      <c r="CR143" s="73"/>
      <c r="CS143" s="73"/>
      <c r="CT143" s="73"/>
      <c r="CU143" s="73"/>
      <c r="CV143" s="73"/>
      <c r="CW143" s="73"/>
      <c r="CX143" s="73"/>
      <c r="CY143" s="73"/>
      <c r="CZ143" s="73"/>
      <c r="DA143" s="73"/>
      <c r="DB143" s="73"/>
      <c r="DC143" s="73"/>
      <c r="DD143" s="73"/>
      <c r="DE143" s="73"/>
      <c r="DF143" s="73"/>
      <c r="DG143" s="73"/>
      <c r="DH143" s="73"/>
      <c r="DI143" s="73"/>
      <c r="DJ143" s="73"/>
      <c r="DK143" s="73"/>
      <c r="DL143" s="73"/>
      <c r="DM143" s="73"/>
      <c r="DN143" s="73"/>
      <c r="DO143" s="73"/>
      <c r="DP143" s="73"/>
      <c r="DQ143" s="73"/>
      <c r="DR143" s="73"/>
      <c r="DS143" s="73"/>
      <c r="DT143" s="73"/>
      <c r="DU143" s="74"/>
      <c r="DV143" s="74"/>
      <c r="DW143" s="72"/>
      <c r="DX143" s="72"/>
      <c r="DY143" s="72"/>
      <c r="DZ143" s="75"/>
      <c r="EA143" s="76"/>
    </row>
    <row r="144" ht="21.75" customHeight="1">
      <c r="A144" s="64"/>
      <c r="B144" s="70" t="s">
        <v>40</v>
      </c>
      <c r="C144" s="71" t="s">
        <v>125</v>
      </c>
      <c r="D144" s="71" t="s">
        <v>41</v>
      </c>
      <c r="E144" s="71" t="s">
        <v>44</v>
      </c>
      <c r="F144" s="72" t="s">
        <v>126</v>
      </c>
      <c r="G144" s="73">
        <v>1505397.0</v>
      </c>
      <c r="H144" s="73">
        <v>0.0</v>
      </c>
      <c r="I144" s="73">
        <v>1505397.0</v>
      </c>
      <c r="J144" s="73">
        <f t="shared" ref="J144:L144" si="714">J145+J147+J150</f>
        <v>0</v>
      </c>
      <c r="K144" s="73">
        <f t="shared" si="714"/>
        <v>0</v>
      </c>
      <c r="L144" s="73">
        <f t="shared" si="714"/>
        <v>0</v>
      </c>
      <c r="M144" s="73">
        <f t="shared" ref="M144:O144" si="715">M145+M147+M150+M153+M154</f>
        <v>3812.20802</v>
      </c>
      <c r="N144" s="73">
        <f t="shared" si="715"/>
        <v>0</v>
      </c>
      <c r="O144" s="73">
        <f t="shared" si="715"/>
        <v>3812.20802</v>
      </c>
      <c r="P144" s="73">
        <f t="shared" ref="P144:R144" si="716">P145+P147+P150</f>
        <v>0</v>
      </c>
      <c r="Q144" s="73">
        <f t="shared" si="716"/>
        <v>0</v>
      </c>
      <c r="R144" s="73">
        <f t="shared" si="716"/>
        <v>0</v>
      </c>
      <c r="S144" s="73">
        <f t="shared" ref="S144:U144" si="717">S145+S147+S150+S153+S154</f>
        <v>2100</v>
      </c>
      <c r="T144" s="73">
        <f t="shared" si="717"/>
        <v>0</v>
      </c>
      <c r="U144" s="73">
        <f t="shared" si="717"/>
        <v>2100</v>
      </c>
      <c r="V144" s="73">
        <v>1913.0</v>
      </c>
      <c r="W144" s="73">
        <f>W145+W147+W150</f>
        <v>0</v>
      </c>
      <c r="X144" s="73">
        <v>1913.0</v>
      </c>
      <c r="Y144" s="73">
        <f t="shared" ref="Y144:AA144" si="718">Y145+Y147+Y150+Y153+Y154</f>
        <v>102904.5938</v>
      </c>
      <c r="Z144" s="73">
        <f t="shared" si="718"/>
        <v>0</v>
      </c>
      <c r="AA144" s="73">
        <f t="shared" si="718"/>
        <v>102904.5938</v>
      </c>
      <c r="AB144" s="73">
        <f t="shared" ref="AB144:AG144" si="719">J144+P144+V144</f>
        <v>1913</v>
      </c>
      <c r="AC144" s="73">
        <f t="shared" si="719"/>
        <v>0</v>
      </c>
      <c r="AD144" s="73">
        <f t="shared" si="719"/>
        <v>1913</v>
      </c>
      <c r="AE144" s="73">
        <f t="shared" si="719"/>
        <v>108816.8018</v>
      </c>
      <c r="AF144" s="73">
        <f t="shared" si="719"/>
        <v>0</v>
      </c>
      <c r="AG144" s="73">
        <f t="shared" si="719"/>
        <v>108816.8018</v>
      </c>
      <c r="AH144" s="73">
        <v>6485.0</v>
      </c>
      <c r="AI144" s="73">
        <v>0.0</v>
      </c>
      <c r="AJ144" s="73">
        <v>6485.0</v>
      </c>
      <c r="AK144" s="73">
        <f t="shared" ref="AK144:AM144" si="720">AK145+AK147+AK150+AK153+AK154</f>
        <v>106502.2514</v>
      </c>
      <c r="AL144" s="73">
        <f t="shared" si="720"/>
        <v>0</v>
      </c>
      <c r="AM144" s="73">
        <f t="shared" si="720"/>
        <v>106502.2514</v>
      </c>
      <c r="AN144" s="73">
        <f t="shared" ref="AN144:AS144" si="721">AB144+AH144</f>
        <v>8398</v>
      </c>
      <c r="AO144" s="73">
        <f t="shared" si="721"/>
        <v>0</v>
      </c>
      <c r="AP144" s="73">
        <f t="shared" si="721"/>
        <v>8398</v>
      </c>
      <c r="AQ144" s="73">
        <f t="shared" si="721"/>
        <v>215319.0532</v>
      </c>
      <c r="AR144" s="73">
        <f t="shared" si="721"/>
        <v>0</v>
      </c>
      <c r="AS144" s="73">
        <f t="shared" si="721"/>
        <v>215319.0532</v>
      </c>
      <c r="AT144" s="73">
        <v>9728.0</v>
      </c>
      <c r="AU144" s="73">
        <v>0.0</v>
      </c>
      <c r="AV144" s="73">
        <v>9728.0</v>
      </c>
      <c r="AW144" s="73">
        <f t="shared" ref="AW144:AY144" si="722">AW145+AW147+AW150+AW153+AW154</f>
        <v>9277.7409</v>
      </c>
      <c r="AX144" s="73">
        <f t="shared" si="722"/>
        <v>0</v>
      </c>
      <c r="AY144" s="73">
        <f t="shared" si="722"/>
        <v>9277.7409</v>
      </c>
      <c r="AZ144" s="73">
        <f t="shared" ref="AZ144:BE144" si="723">AN144+AT144</f>
        <v>18126</v>
      </c>
      <c r="BA144" s="73">
        <f t="shared" si="723"/>
        <v>0</v>
      </c>
      <c r="BB144" s="73">
        <f t="shared" si="723"/>
        <v>18126</v>
      </c>
      <c r="BC144" s="73">
        <f t="shared" si="723"/>
        <v>224596.7941</v>
      </c>
      <c r="BD144" s="73">
        <f t="shared" si="723"/>
        <v>0</v>
      </c>
      <c r="BE144" s="73">
        <f t="shared" si="723"/>
        <v>224596.7941</v>
      </c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3"/>
      <c r="CO144" s="73"/>
      <c r="CP144" s="73"/>
      <c r="CQ144" s="73"/>
      <c r="CR144" s="73"/>
      <c r="CS144" s="73"/>
      <c r="CT144" s="73"/>
      <c r="CU144" s="73"/>
      <c r="CV144" s="73"/>
      <c r="CW144" s="73"/>
      <c r="CX144" s="73"/>
      <c r="CY144" s="73"/>
      <c r="CZ144" s="73"/>
      <c r="DA144" s="73"/>
      <c r="DB144" s="73"/>
      <c r="DC144" s="73"/>
      <c r="DD144" s="73"/>
      <c r="DE144" s="73"/>
      <c r="DF144" s="73"/>
      <c r="DG144" s="73"/>
      <c r="DH144" s="73"/>
      <c r="DI144" s="73"/>
      <c r="DJ144" s="73"/>
      <c r="DK144" s="73"/>
      <c r="DL144" s="73"/>
      <c r="DM144" s="73"/>
      <c r="DN144" s="73"/>
      <c r="DO144" s="73"/>
      <c r="DP144" s="73"/>
      <c r="DQ144" s="73"/>
      <c r="DR144" s="73"/>
      <c r="DS144" s="73"/>
      <c r="DT144" s="73"/>
      <c r="DU144" s="74"/>
      <c r="DV144" s="74"/>
      <c r="DW144" s="72"/>
      <c r="DX144" s="72"/>
      <c r="DY144" s="72"/>
      <c r="DZ144" s="75"/>
      <c r="EA144" s="76"/>
    </row>
    <row r="145" ht="21.75" customHeight="1">
      <c r="A145" s="64"/>
      <c r="B145" s="70"/>
      <c r="C145" s="71"/>
      <c r="D145" s="71"/>
      <c r="E145" s="71"/>
      <c r="F145" s="78" t="s">
        <v>46</v>
      </c>
      <c r="G145" s="73"/>
      <c r="H145" s="73"/>
      <c r="I145" s="73"/>
      <c r="J145" s="73"/>
      <c r="K145" s="73"/>
      <c r="L145" s="73"/>
      <c r="M145" s="79">
        <f t="shared" ref="M145:O145" si="724">M146</f>
        <v>42.74743</v>
      </c>
      <c r="N145" s="79">
        <f t="shared" si="724"/>
        <v>0</v>
      </c>
      <c r="O145" s="79">
        <f t="shared" si="724"/>
        <v>42.74743</v>
      </c>
      <c r="P145" s="79"/>
      <c r="Q145" s="79"/>
      <c r="R145" s="79"/>
      <c r="S145" s="79">
        <f t="shared" ref="S145:U145" si="725">S146</f>
        <v>0</v>
      </c>
      <c r="T145" s="79">
        <f t="shared" si="725"/>
        <v>0</v>
      </c>
      <c r="U145" s="79">
        <f t="shared" si="725"/>
        <v>0</v>
      </c>
      <c r="V145" s="79"/>
      <c r="W145" s="79"/>
      <c r="X145" s="79"/>
      <c r="Y145" s="79">
        <f t="shared" ref="Y145:AA145" si="726">Y146</f>
        <v>0</v>
      </c>
      <c r="Z145" s="79">
        <f t="shared" si="726"/>
        <v>0</v>
      </c>
      <c r="AA145" s="79">
        <f t="shared" si="726"/>
        <v>0</v>
      </c>
      <c r="AB145" s="79"/>
      <c r="AC145" s="79"/>
      <c r="AD145" s="79"/>
      <c r="AE145" s="79">
        <f t="shared" ref="AE145:AG145" si="727">M145+S145+Y145</f>
        <v>42.74743</v>
      </c>
      <c r="AF145" s="79">
        <f t="shared" si="727"/>
        <v>0</v>
      </c>
      <c r="AG145" s="79">
        <f t="shared" si="727"/>
        <v>42.74743</v>
      </c>
      <c r="AH145" s="73"/>
      <c r="AI145" s="73"/>
      <c r="AJ145" s="73"/>
      <c r="AK145" s="79">
        <f t="shared" ref="AK145:AM145" si="728">AK146</f>
        <v>0</v>
      </c>
      <c r="AL145" s="79">
        <f t="shared" si="728"/>
        <v>0</v>
      </c>
      <c r="AM145" s="79">
        <f t="shared" si="728"/>
        <v>0</v>
      </c>
      <c r="AN145" s="73"/>
      <c r="AO145" s="73"/>
      <c r="AP145" s="73"/>
      <c r="AQ145" s="79">
        <f t="shared" ref="AQ145:AS145" si="729">AE145+AK145</f>
        <v>42.74743</v>
      </c>
      <c r="AR145" s="79">
        <f t="shared" si="729"/>
        <v>0</v>
      </c>
      <c r="AS145" s="79">
        <f t="shared" si="729"/>
        <v>42.74743</v>
      </c>
      <c r="AT145" s="73"/>
      <c r="AU145" s="73"/>
      <c r="AV145" s="73"/>
      <c r="AW145" s="79">
        <v>0.0</v>
      </c>
      <c r="AX145" s="79">
        <v>0.0</v>
      </c>
      <c r="AY145" s="79">
        <v>0.0</v>
      </c>
      <c r="AZ145" s="73"/>
      <c r="BA145" s="73"/>
      <c r="BB145" s="73"/>
      <c r="BC145" s="79">
        <f t="shared" ref="BC145:BE145" si="730">AQ145+AW145</f>
        <v>42.74743</v>
      </c>
      <c r="BD145" s="79">
        <f t="shared" si="730"/>
        <v>0</v>
      </c>
      <c r="BE145" s="79">
        <f t="shared" si="730"/>
        <v>42.74743</v>
      </c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3"/>
      <c r="CO145" s="73"/>
      <c r="CP145" s="73"/>
      <c r="CQ145" s="73"/>
      <c r="CR145" s="73"/>
      <c r="CS145" s="73"/>
      <c r="CT145" s="73"/>
      <c r="CU145" s="73"/>
      <c r="CV145" s="73"/>
      <c r="CW145" s="73"/>
      <c r="CX145" s="73"/>
      <c r="CY145" s="73"/>
      <c r="CZ145" s="73"/>
      <c r="DA145" s="73"/>
      <c r="DB145" s="73"/>
      <c r="DC145" s="73"/>
      <c r="DD145" s="73"/>
      <c r="DE145" s="73"/>
      <c r="DF145" s="73"/>
      <c r="DG145" s="73"/>
      <c r="DH145" s="73"/>
      <c r="DI145" s="73"/>
      <c r="DJ145" s="73"/>
      <c r="DK145" s="73"/>
      <c r="DL145" s="73"/>
      <c r="DM145" s="73"/>
      <c r="DN145" s="73"/>
      <c r="DO145" s="73"/>
      <c r="DP145" s="73"/>
      <c r="DQ145" s="73"/>
      <c r="DR145" s="73"/>
      <c r="DS145" s="73"/>
      <c r="DT145" s="73"/>
      <c r="DU145" s="74"/>
      <c r="DV145" s="74"/>
      <c r="DW145" s="72"/>
      <c r="DX145" s="72"/>
      <c r="DY145" s="72"/>
      <c r="DZ145" s="75"/>
      <c r="EA145" s="76"/>
    </row>
    <row r="146" ht="21.75" customHeight="1">
      <c r="A146" s="64"/>
      <c r="B146" s="70"/>
      <c r="C146" s="71"/>
      <c r="D146" s="71"/>
      <c r="E146" s="71"/>
      <c r="F146" s="81" t="s">
        <v>47</v>
      </c>
      <c r="G146" s="73"/>
      <c r="H146" s="73"/>
      <c r="I146" s="73"/>
      <c r="J146" s="73"/>
      <c r="K146" s="73"/>
      <c r="L146" s="73"/>
      <c r="M146" s="73">
        <f>N146+O146</f>
        <v>42.74743</v>
      </c>
      <c r="N146" s="73">
        <v>0.0</v>
      </c>
      <c r="O146" s="73">
        <v>42.74743</v>
      </c>
      <c r="P146" s="73"/>
      <c r="Q146" s="73"/>
      <c r="R146" s="73"/>
      <c r="S146" s="73">
        <f>T146+U146</f>
        <v>0</v>
      </c>
      <c r="T146" s="73">
        <v>0.0</v>
      </c>
      <c r="U146" s="73">
        <v>0.0</v>
      </c>
      <c r="V146" s="73"/>
      <c r="W146" s="73"/>
      <c r="X146" s="73"/>
      <c r="Y146" s="73">
        <f>Z146+AA146</f>
        <v>0</v>
      </c>
      <c r="Z146" s="73">
        <v>0.0</v>
      </c>
      <c r="AA146" s="73">
        <v>0.0</v>
      </c>
      <c r="AB146" s="73"/>
      <c r="AC146" s="73"/>
      <c r="AD146" s="73"/>
      <c r="AE146" s="73">
        <f t="shared" ref="AE146:AG146" si="731">M146+S146+Y146</f>
        <v>42.74743</v>
      </c>
      <c r="AF146" s="73">
        <f t="shared" si="731"/>
        <v>0</v>
      </c>
      <c r="AG146" s="73">
        <f t="shared" si="731"/>
        <v>42.74743</v>
      </c>
      <c r="AH146" s="73"/>
      <c r="AI146" s="73"/>
      <c r="AJ146" s="73"/>
      <c r="AK146" s="73">
        <f>AL146+AM146</f>
        <v>0</v>
      </c>
      <c r="AL146" s="73">
        <v>0.0</v>
      </c>
      <c r="AM146" s="73">
        <v>0.0</v>
      </c>
      <c r="AN146" s="73"/>
      <c r="AO146" s="73"/>
      <c r="AP146" s="73"/>
      <c r="AQ146" s="73">
        <f t="shared" ref="AQ146:AS146" si="732">AE146+AK146</f>
        <v>42.74743</v>
      </c>
      <c r="AR146" s="73">
        <f t="shared" si="732"/>
        <v>0</v>
      </c>
      <c r="AS146" s="73">
        <f t="shared" si="732"/>
        <v>42.74743</v>
      </c>
      <c r="AT146" s="73"/>
      <c r="AU146" s="73"/>
      <c r="AV146" s="73"/>
      <c r="AW146" s="73">
        <v>0.0</v>
      </c>
      <c r="AX146" s="73">
        <v>0.0</v>
      </c>
      <c r="AY146" s="73">
        <v>0.0</v>
      </c>
      <c r="AZ146" s="73"/>
      <c r="BA146" s="73"/>
      <c r="BB146" s="73"/>
      <c r="BC146" s="73">
        <f t="shared" ref="BC146:BE146" si="733">AQ146+AW146</f>
        <v>42.74743</v>
      </c>
      <c r="BD146" s="73">
        <f t="shared" si="733"/>
        <v>0</v>
      </c>
      <c r="BE146" s="73">
        <f t="shared" si="733"/>
        <v>42.74743</v>
      </c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3"/>
      <c r="CO146" s="73"/>
      <c r="CP146" s="73"/>
      <c r="CQ146" s="73"/>
      <c r="CR146" s="73"/>
      <c r="CS146" s="73"/>
      <c r="CT146" s="73"/>
      <c r="CU146" s="73"/>
      <c r="CV146" s="73"/>
      <c r="CW146" s="73"/>
      <c r="CX146" s="73"/>
      <c r="CY146" s="73"/>
      <c r="CZ146" s="73"/>
      <c r="DA146" s="73"/>
      <c r="DB146" s="73"/>
      <c r="DC146" s="73"/>
      <c r="DD146" s="73"/>
      <c r="DE146" s="73"/>
      <c r="DF146" s="73"/>
      <c r="DG146" s="73"/>
      <c r="DH146" s="73"/>
      <c r="DI146" s="73"/>
      <c r="DJ146" s="73"/>
      <c r="DK146" s="73"/>
      <c r="DL146" s="73"/>
      <c r="DM146" s="73"/>
      <c r="DN146" s="73"/>
      <c r="DO146" s="73"/>
      <c r="DP146" s="73"/>
      <c r="DQ146" s="73"/>
      <c r="DR146" s="73"/>
      <c r="DS146" s="73"/>
      <c r="DT146" s="73"/>
      <c r="DU146" s="74"/>
      <c r="DV146" s="74"/>
      <c r="DW146" s="72"/>
      <c r="DX146" s="72"/>
      <c r="DY146" s="72"/>
      <c r="DZ146" s="75"/>
      <c r="EA146" s="76"/>
    </row>
    <row r="147" ht="21.75" customHeight="1">
      <c r="A147" s="64"/>
      <c r="B147" s="70"/>
      <c r="C147" s="71"/>
      <c r="D147" s="71"/>
      <c r="E147" s="71"/>
      <c r="F147" s="78" t="s">
        <v>48</v>
      </c>
      <c r="G147" s="73"/>
      <c r="H147" s="73"/>
      <c r="I147" s="73"/>
      <c r="J147" s="73"/>
      <c r="K147" s="73"/>
      <c r="L147" s="73"/>
      <c r="M147" s="79">
        <f t="shared" ref="M147:O147" si="734">M148+M149</f>
        <v>3552.77382</v>
      </c>
      <c r="N147" s="79">
        <f t="shared" si="734"/>
        <v>0</v>
      </c>
      <c r="O147" s="79">
        <f t="shared" si="734"/>
        <v>3552.77382</v>
      </c>
      <c r="P147" s="79"/>
      <c r="Q147" s="79"/>
      <c r="R147" s="79"/>
      <c r="S147" s="79">
        <f t="shared" ref="S147:U147" si="735">S148+S149</f>
        <v>2100</v>
      </c>
      <c r="T147" s="79">
        <f t="shared" si="735"/>
        <v>0</v>
      </c>
      <c r="U147" s="79">
        <f t="shared" si="735"/>
        <v>2100</v>
      </c>
      <c r="V147" s="79"/>
      <c r="W147" s="79"/>
      <c r="X147" s="79"/>
      <c r="Y147" s="79">
        <f t="shared" ref="Y147:AA147" si="736">Y148+Y149</f>
        <v>1886.03375</v>
      </c>
      <c r="Z147" s="79">
        <f t="shared" si="736"/>
        <v>0</v>
      </c>
      <c r="AA147" s="79">
        <f t="shared" si="736"/>
        <v>1886.03375</v>
      </c>
      <c r="AB147" s="79"/>
      <c r="AC147" s="79"/>
      <c r="AD147" s="79"/>
      <c r="AE147" s="79">
        <f t="shared" ref="AE147:AG147" si="737">M147+S147+Y147</f>
        <v>7538.80757</v>
      </c>
      <c r="AF147" s="79">
        <f t="shared" si="737"/>
        <v>0</v>
      </c>
      <c r="AG147" s="79">
        <f t="shared" si="737"/>
        <v>7538.80757</v>
      </c>
      <c r="AH147" s="73"/>
      <c r="AI147" s="73"/>
      <c r="AJ147" s="73"/>
      <c r="AK147" s="79">
        <f t="shared" ref="AK147:AM147" si="738">AK148+AK149</f>
        <v>4023.01592</v>
      </c>
      <c r="AL147" s="79">
        <f t="shared" si="738"/>
        <v>0</v>
      </c>
      <c r="AM147" s="79">
        <f t="shared" si="738"/>
        <v>4023.01592</v>
      </c>
      <c r="AN147" s="73"/>
      <c r="AO147" s="73"/>
      <c r="AP147" s="73"/>
      <c r="AQ147" s="79">
        <f t="shared" ref="AQ147:AS147" si="739">AE147+AK147</f>
        <v>11561.82349</v>
      </c>
      <c r="AR147" s="79">
        <f t="shared" si="739"/>
        <v>0</v>
      </c>
      <c r="AS147" s="79">
        <f t="shared" si="739"/>
        <v>11561.82349</v>
      </c>
      <c r="AT147" s="73"/>
      <c r="AU147" s="73"/>
      <c r="AV147" s="73"/>
      <c r="AW147" s="79">
        <f t="shared" ref="AW147:AY147" si="740">AW148</f>
        <v>3928.91782</v>
      </c>
      <c r="AX147" s="79">
        <f t="shared" si="740"/>
        <v>0</v>
      </c>
      <c r="AY147" s="79">
        <f t="shared" si="740"/>
        <v>3928.91782</v>
      </c>
      <c r="AZ147" s="73"/>
      <c r="BA147" s="73"/>
      <c r="BB147" s="73"/>
      <c r="BC147" s="79">
        <f t="shared" ref="BC147:BE147" si="741">AQ147+AW147</f>
        <v>15490.74131</v>
      </c>
      <c r="BD147" s="79">
        <f t="shared" si="741"/>
        <v>0</v>
      </c>
      <c r="BE147" s="79">
        <f t="shared" si="741"/>
        <v>15490.74131</v>
      </c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3"/>
      <c r="CO147" s="73"/>
      <c r="CP147" s="73"/>
      <c r="CQ147" s="73"/>
      <c r="CR147" s="73"/>
      <c r="CS147" s="73"/>
      <c r="CT147" s="73"/>
      <c r="CU147" s="73"/>
      <c r="CV147" s="73"/>
      <c r="CW147" s="73"/>
      <c r="CX147" s="73"/>
      <c r="CY147" s="73"/>
      <c r="CZ147" s="73"/>
      <c r="DA147" s="73"/>
      <c r="DB147" s="73"/>
      <c r="DC147" s="73"/>
      <c r="DD147" s="73"/>
      <c r="DE147" s="73"/>
      <c r="DF147" s="73"/>
      <c r="DG147" s="73"/>
      <c r="DH147" s="73"/>
      <c r="DI147" s="73"/>
      <c r="DJ147" s="73"/>
      <c r="DK147" s="73"/>
      <c r="DL147" s="73"/>
      <c r="DM147" s="73"/>
      <c r="DN147" s="73"/>
      <c r="DO147" s="73"/>
      <c r="DP147" s="73"/>
      <c r="DQ147" s="73"/>
      <c r="DR147" s="73"/>
      <c r="DS147" s="73"/>
      <c r="DT147" s="73"/>
      <c r="DU147" s="74"/>
      <c r="DV147" s="74"/>
      <c r="DW147" s="72"/>
      <c r="DX147" s="72"/>
      <c r="DY147" s="72"/>
      <c r="DZ147" s="75"/>
      <c r="EA147" s="82"/>
    </row>
    <row r="148" ht="21.75" customHeight="1">
      <c r="A148" s="64"/>
      <c r="B148" s="70"/>
      <c r="C148" s="71"/>
      <c r="D148" s="71"/>
      <c r="E148" s="71"/>
      <c r="F148" s="81" t="s">
        <v>47</v>
      </c>
      <c r="G148" s="73"/>
      <c r="H148" s="73"/>
      <c r="I148" s="73"/>
      <c r="J148" s="73"/>
      <c r="K148" s="73"/>
      <c r="L148" s="73"/>
      <c r="M148" s="73">
        <v>3565.49807</v>
      </c>
      <c r="N148" s="73">
        <v>0.0</v>
      </c>
      <c r="O148" s="73">
        <v>3565.49807</v>
      </c>
      <c r="P148" s="73"/>
      <c r="Q148" s="73"/>
      <c r="R148" s="73"/>
      <c r="S148" s="73">
        <v>2172.18034</v>
      </c>
      <c r="T148" s="73">
        <v>0.0</v>
      </c>
      <c r="U148" s="73">
        <v>2172.18034</v>
      </c>
      <c r="V148" s="73"/>
      <c r="W148" s="73"/>
      <c r="X148" s="73"/>
      <c r="Y148" s="73">
        <f>Z148+AA148</f>
        <v>1886.03375</v>
      </c>
      <c r="Z148" s="73">
        <v>0.0</v>
      </c>
      <c r="AA148" s="73">
        <v>1886.03375</v>
      </c>
      <c r="AB148" s="73"/>
      <c r="AC148" s="73"/>
      <c r="AD148" s="73"/>
      <c r="AE148" s="73">
        <f t="shared" ref="AE148:AG148" si="742">M148+S148+Y148</f>
        <v>7623.71216</v>
      </c>
      <c r="AF148" s="73">
        <f t="shared" si="742"/>
        <v>0</v>
      </c>
      <c r="AG148" s="73">
        <f t="shared" si="742"/>
        <v>7623.71216</v>
      </c>
      <c r="AH148" s="73"/>
      <c r="AI148" s="73"/>
      <c r="AJ148" s="73"/>
      <c r="AK148" s="73">
        <f>AL148+AM148</f>
        <v>4023.01592</v>
      </c>
      <c r="AL148" s="73">
        <v>0.0</v>
      </c>
      <c r="AM148" s="73">
        <v>4023.01592</v>
      </c>
      <c r="AN148" s="73"/>
      <c r="AO148" s="73"/>
      <c r="AP148" s="73"/>
      <c r="AQ148" s="73">
        <f t="shared" ref="AQ148:AS148" si="743">AE148+AK148</f>
        <v>11646.72808</v>
      </c>
      <c r="AR148" s="73">
        <f t="shared" si="743"/>
        <v>0</v>
      </c>
      <c r="AS148" s="73">
        <f t="shared" si="743"/>
        <v>11646.72808</v>
      </c>
      <c r="AT148" s="73"/>
      <c r="AU148" s="73"/>
      <c r="AV148" s="73"/>
      <c r="AW148" s="73">
        <f>1700.92259+2227.99523</f>
        <v>3928.91782</v>
      </c>
      <c r="AX148" s="73">
        <v>0.0</v>
      </c>
      <c r="AY148" s="73">
        <f>1700.92259+2227.99523</f>
        <v>3928.91782</v>
      </c>
      <c r="AZ148" s="73"/>
      <c r="BA148" s="73"/>
      <c r="BB148" s="73"/>
      <c r="BC148" s="73">
        <f t="shared" ref="BC148:BE148" si="744">AQ148+AW148</f>
        <v>15575.6459</v>
      </c>
      <c r="BD148" s="73">
        <f t="shared" si="744"/>
        <v>0</v>
      </c>
      <c r="BE148" s="73">
        <f t="shared" si="744"/>
        <v>15575.6459</v>
      </c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3"/>
      <c r="CO148" s="73"/>
      <c r="CP148" s="73"/>
      <c r="CQ148" s="73"/>
      <c r="CR148" s="73"/>
      <c r="CS148" s="73"/>
      <c r="CT148" s="73"/>
      <c r="CU148" s="73"/>
      <c r="CV148" s="73"/>
      <c r="CW148" s="73"/>
      <c r="CX148" s="73"/>
      <c r="CY148" s="73"/>
      <c r="CZ148" s="73"/>
      <c r="DA148" s="73"/>
      <c r="DB148" s="73"/>
      <c r="DC148" s="73"/>
      <c r="DD148" s="73"/>
      <c r="DE148" s="73"/>
      <c r="DF148" s="73"/>
      <c r="DG148" s="73"/>
      <c r="DH148" s="73"/>
      <c r="DI148" s="73"/>
      <c r="DJ148" s="73"/>
      <c r="DK148" s="73"/>
      <c r="DL148" s="73"/>
      <c r="DM148" s="73"/>
      <c r="DN148" s="73"/>
      <c r="DO148" s="73"/>
      <c r="DP148" s="73"/>
      <c r="DQ148" s="73"/>
      <c r="DR148" s="73"/>
      <c r="DS148" s="73"/>
      <c r="DT148" s="73"/>
      <c r="DU148" s="74"/>
      <c r="DV148" s="74"/>
      <c r="DW148" s="72"/>
      <c r="DX148" s="72"/>
      <c r="DY148" s="72"/>
      <c r="DZ148" s="75"/>
      <c r="EA148" s="82" t="s">
        <v>127</v>
      </c>
    </row>
    <row r="149" ht="21.75" customHeight="1">
      <c r="A149" s="64"/>
      <c r="B149" s="70"/>
      <c r="C149" s="71"/>
      <c r="D149" s="71"/>
      <c r="E149" s="71"/>
      <c r="F149" s="81" t="s">
        <v>50</v>
      </c>
      <c r="G149" s="73"/>
      <c r="H149" s="73"/>
      <c r="I149" s="73"/>
      <c r="J149" s="73"/>
      <c r="K149" s="73"/>
      <c r="L149" s="73"/>
      <c r="M149" s="73">
        <v>-12.724250000000211</v>
      </c>
      <c r="N149" s="73">
        <v>0.0</v>
      </c>
      <c r="O149" s="73">
        <v>-12.724250000000211</v>
      </c>
      <c r="P149" s="73"/>
      <c r="Q149" s="73"/>
      <c r="R149" s="73"/>
      <c r="S149" s="73">
        <v>-72.18033999999989</v>
      </c>
      <c r="T149" s="73">
        <v>0.0</v>
      </c>
      <c r="U149" s="73">
        <v>-72.18033999999989</v>
      </c>
      <c r="V149" s="73"/>
      <c r="W149" s="73"/>
      <c r="X149" s="73"/>
      <c r="Y149" s="73">
        <v>0.0</v>
      </c>
      <c r="Z149" s="73">
        <v>0.0</v>
      </c>
      <c r="AA149" s="73">
        <v>0.0</v>
      </c>
      <c r="AB149" s="73"/>
      <c r="AC149" s="73"/>
      <c r="AD149" s="73"/>
      <c r="AE149" s="73">
        <f t="shared" ref="AE149:AG149" si="745">M149+S149+Y149</f>
        <v>-84.90459</v>
      </c>
      <c r="AF149" s="73">
        <f t="shared" si="745"/>
        <v>0</v>
      </c>
      <c r="AG149" s="73">
        <f t="shared" si="745"/>
        <v>-84.90459</v>
      </c>
      <c r="AH149" s="73"/>
      <c r="AI149" s="73"/>
      <c r="AJ149" s="73"/>
      <c r="AK149" s="73">
        <v>0.0</v>
      </c>
      <c r="AL149" s="73">
        <v>0.0</v>
      </c>
      <c r="AM149" s="73">
        <v>0.0</v>
      </c>
      <c r="AN149" s="73"/>
      <c r="AO149" s="73"/>
      <c r="AP149" s="73"/>
      <c r="AQ149" s="73">
        <f t="shared" ref="AQ149:AS149" si="746">AE149+AK149</f>
        <v>-84.90459</v>
      </c>
      <c r="AR149" s="73">
        <f t="shared" si="746"/>
        <v>0</v>
      </c>
      <c r="AS149" s="73">
        <f t="shared" si="746"/>
        <v>-84.90459</v>
      </c>
      <c r="AT149" s="73"/>
      <c r="AU149" s="73"/>
      <c r="AV149" s="73"/>
      <c r="AW149" s="73"/>
      <c r="AX149" s="73"/>
      <c r="AY149" s="73"/>
      <c r="AZ149" s="73"/>
      <c r="BA149" s="73"/>
      <c r="BB149" s="73"/>
      <c r="BC149" s="73">
        <f t="shared" ref="BC149:BE149" si="747">AQ149+AW149</f>
        <v>-84.90459</v>
      </c>
      <c r="BD149" s="73">
        <f t="shared" si="747"/>
        <v>0</v>
      </c>
      <c r="BE149" s="73">
        <f t="shared" si="747"/>
        <v>-84.90459</v>
      </c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3"/>
      <c r="CO149" s="73"/>
      <c r="CP149" s="73"/>
      <c r="CQ149" s="73"/>
      <c r="CR149" s="73"/>
      <c r="CS149" s="73"/>
      <c r="CT149" s="73"/>
      <c r="CU149" s="73"/>
      <c r="CV149" s="73"/>
      <c r="CW149" s="73"/>
      <c r="CX149" s="73"/>
      <c r="CY149" s="73"/>
      <c r="CZ149" s="73"/>
      <c r="DA149" s="73"/>
      <c r="DB149" s="73"/>
      <c r="DC149" s="73"/>
      <c r="DD149" s="73"/>
      <c r="DE149" s="73"/>
      <c r="DF149" s="73"/>
      <c r="DG149" s="73"/>
      <c r="DH149" s="73"/>
      <c r="DI149" s="73"/>
      <c r="DJ149" s="73"/>
      <c r="DK149" s="73"/>
      <c r="DL149" s="73"/>
      <c r="DM149" s="73"/>
      <c r="DN149" s="73"/>
      <c r="DO149" s="73"/>
      <c r="DP149" s="73"/>
      <c r="DQ149" s="73"/>
      <c r="DR149" s="73"/>
      <c r="DS149" s="73"/>
      <c r="DT149" s="73"/>
      <c r="DU149" s="74"/>
      <c r="DV149" s="74"/>
      <c r="DW149" s="72"/>
      <c r="DX149" s="72"/>
      <c r="DY149" s="72"/>
      <c r="DZ149" s="75"/>
      <c r="EA149" s="82"/>
    </row>
    <row r="150" ht="21.75" customHeight="1">
      <c r="A150" s="64"/>
      <c r="B150" s="70"/>
      <c r="C150" s="71"/>
      <c r="D150" s="71"/>
      <c r="E150" s="71"/>
      <c r="F150" s="78" t="s">
        <v>51</v>
      </c>
      <c r="G150" s="73"/>
      <c r="H150" s="73"/>
      <c r="I150" s="73"/>
      <c r="J150" s="73"/>
      <c r="K150" s="73"/>
      <c r="L150" s="73"/>
      <c r="M150" s="79">
        <f t="shared" ref="M150:O150" si="748">M151+M152</f>
        <v>216.68677</v>
      </c>
      <c r="N150" s="79">
        <f t="shared" si="748"/>
        <v>0</v>
      </c>
      <c r="O150" s="79">
        <f t="shared" si="748"/>
        <v>216.68677</v>
      </c>
      <c r="P150" s="73"/>
      <c r="Q150" s="73"/>
      <c r="R150" s="73"/>
      <c r="S150" s="79">
        <f t="shared" ref="S150:U150" si="749">S151+S152</f>
        <v>0</v>
      </c>
      <c r="T150" s="79">
        <f t="shared" si="749"/>
        <v>0</v>
      </c>
      <c r="U150" s="79">
        <f t="shared" si="749"/>
        <v>0</v>
      </c>
      <c r="V150" s="73"/>
      <c r="W150" s="73"/>
      <c r="X150" s="73"/>
      <c r="Y150" s="79">
        <f t="shared" ref="Y150:AA150" si="750">Y151+Y152</f>
        <v>86.56</v>
      </c>
      <c r="Z150" s="79">
        <f t="shared" si="750"/>
        <v>0</v>
      </c>
      <c r="AA150" s="79">
        <f t="shared" si="750"/>
        <v>86.56</v>
      </c>
      <c r="AB150" s="73"/>
      <c r="AC150" s="73"/>
      <c r="AD150" s="73"/>
      <c r="AE150" s="79">
        <f t="shared" ref="AE150:AG150" si="751">M150+S150+Y150</f>
        <v>303.24677</v>
      </c>
      <c r="AF150" s="79">
        <f t="shared" si="751"/>
        <v>0</v>
      </c>
      <c r="AG150" s="79">
        <f t="shared" si="751"/>
        <v>303.24677</v>
      </c>
      <c r="AH150" s="73"/>
      <c r="AI150" s="73"/>
      <c r="AJ150" s="73"/>
      <c r="AK150" s="79">
        <f t="shared" ref="AK150:AM150" si="752">AK151+AK152</f>
        <v>519</v>
      </c>
      <c r="AL150" s="79">
        <f t="shared" si="752"/>
        <v>0</v>
      </c>
      <c r="AM150" s="79">
        <f t="shared" si="752"/>
        <v>519</v>
      </c>
      <c r="AN150" s="73"/>
      <c r="AO150" s="73"/>
      <c r="AP150" s="73"/>
      <c r="AQ150" s="79">
        <f t="shared" ref="AQ150:AS150" si="753">AE150+AK150</f>
        <v>822.24677</v>
      </c>
      <c r="AR150" s="79">
        <f t="shared" si="753"/>
        <v>0</v>
      </c>
      <c r="AS150" s="79">
        <f t="shared" si="753"/>
        <v>822.24677</v>
      </c>
      <c r="AT150" s="73"/>
      <c r="AU150" s="73"/>
      <c r="AV150" s="73"/>
      <c r="AW150" s="79">
        <f t="shared" ref="AW150:AY150" si="754">AW151+AW152</f>
        <v>121.1</v>
      </c>
      <c r="AX150" s="79">
        <f t="shared" si="754"/>
        <v>0</v>
      </c>
      <c r="AY150" s="79">
        <f t="shared" si="754"/>
        <v>121.1</v>
      </c>
      <c r="AZ150" s="73"/>
      <c r="BA150" s="73"/>
      <c r="BB150" s="73"/>
      <c r="BC150" s="79">
        <f t="shared" ref="BC150:BE150" si="755">AQ150+AW150</f>
        <v>943.34677</v>
      </c>
      <c r="BD150" s="79">
        <f t="shared" si="755"/>
        <v>0</v>
      </c>
      <c r="BE150" s="79">
        <f t="shared" si="755"/>
        <v>943.34677</v>
      </c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3"/>
      <c r="CO150" s="73"/>
      <c r="CP150" s="73"/>
      <c r="CQ150" s="73"/>
      <c r="CR150" s="73"/>
      <c r="CS150" s="73"/>
      <c r="CT150" s="73"/>
      <c r="CU150" s="73"/>
      <c r="CV150" s="73"/>
      <c r="CW150" s="73"/>
      <c r="CX150" s="73"/>
      <c r="CY150" s="73"/>
      <c r="CZ150" s="73"/>
      <c r="DA150" s="73"/>
      <c r="DB150" s="73"/>
      <c r="DC150" s="73"/>
      <c r="DD150" s="73"/>
      <c r="DE150" s="73"/>
      <c r="DF150" s="73"/>
      <c r="DG150" s="73"/>
      <c r="DH150" s="73"/>
      <c r="DI150" s="73"/>
      <c r="DJ150" s="73"/>
      <c r="DK150" s="73"/>
      <c r="DL150" s="73"/>
      <c r="DM150" s="73"/>
      <c r="DN150" s="73"/>
      <c r="DO150" s="73"/>
      <c r="DP150" s="73"/>
      <c r="DQ150" s="73"/>
      <c r="DR150" s="73"/>
      <c r="DS150" s="73"/>
      <c r="DT150" s="73"/>
      <c r="DU150" s="74"/>
      <c r="DV150" s="74"/>
      <c r="DW150" s="72"/>
      <c r="DX150" s="72"/>
      <c r="DY150" s="72"/>
      <c r="DZ150" s="75"/>
      <c r="EA150" s="76"/>
    </row>
    <row r="151" ht="21.75" customHeight="1">
      <c r="A151" s="64"/>
      <c r="B151" s="70"/>
      <c r="C151" s="71"/>
      <c r="D151" s="71"/>
      <c r="E151" s="71"/>
      <c r="F151" s="81" t="s">
        <v>47</v>
      </c>
      <c r="G151" s="73"/>
      <c r="H151" s="73"/>
      <c r="I151" s="73"/>
      <c r="J151" s="73"/>
      <c r="K151" s="73"/>
      <c r="L151" s="73"/>
      <c r="M151" s="73">
        <v>0.0</v>
      </c>
      <c r="N151" s="73">
        <v>0.0</v>
      </c>
      <c r="O151" s="73">
        <v>0.0</v>
      </c>
      <c r="P151" s="73"/>
      <c r="Q151" s="73"/>
      <c r="R151" s="73"/>
      <c r="S151" s="73">
        <v>0.0</v>
      </c>
      <c r="T151" s="73">
        <v>0.0</v>
      </c>
      <c r="U151" s="73">
        <v>0.0</v>
      </c>
      <c r="V151" s="73"/>
      <c r="W151" s="73"/>
      <c r="X151" s="73"/>
      <c r="Y151" s="73">
        <f>Z151+AA151</f>
        <v>86.56</v>
      </c>
      <c r="Z151" s="73">
        <v>0.0</v>
      </c>
      <c r="AA151" s="73">
        <v>86.56</v>
      </c>
      <c r="AB151" s="73"/>
      <c r="AC151" s="73"/>
      <c r="AD151" s="73"/>
      <c r="AE151" s="73">
        <f t="shared" ref="AE151:AG151" si="756">M151+S151+Y151</f>
        <v>86.56</v>
      </c>
      <c r="AF151" s="73">
        <f t="shared" si="756"/>
        <v>0</v>
      </c>
      <c r="AG151" s="73">
        <f t="shared" si="756"/>
        <v>86.56</v>
      </c>
      <c r="AH151" s="73"/>
      <c r="AI151" s="73"/>
      <c r="AJ151" s="73"/>
      <c r="AK151" s="73">
        <f>AL151+AM151</f>
        <v>519</v>
      </c>
      <c r="AL151" s="73">
        <v>0.0</v>
      </c>
      <c r="AM151" s="73">
        <v>519.0</v>
      </c>
      <c r="AN151" s="73"/>
      <c r="AO151" s="73"/>
      <c r="AP151" s="73"/>
      <c r="AQ151" s="73">
        <f t="shared" ref="AQ151:AS151" si="757">AE151+AK151</f>
        <v>605.56</v>
      </c>
      <c r="AR151" s="73">
        <f t="shared" si="757"/>
        <v>0</v>
      </c>
      <c r="AS151" s="73">
        <f t="shared" si="757"/>
        <v>605.56</v>
      </c>
      <c r="AT151" s="73"/>
      <c r="AU151" s="73"/>
      <c r="AV151" s="73"/>
      <c r="AW151" s="73">
        <f t="shared" ref="AW151:AW152" si="761">AX151+AY151</f>
        <v>121.1</v>
      </c>
      <c r="AX151" s="73">
        <v>0.0</v>
      </c>
      <c r="AY151" s="73">
        <v>121.1</v>
      </c>
      <c r="AZ151" s="73"/>
      <c r="BA151" s="73"/>
      <c r="BB151" s="73"/>
      <c r="BC151" s="73">
        <f t="shared" ref="BC151:BE151" si="758">AQ151+AW151</f>
        <v>726.66</v>
      </c>
      <c r="BD151" s="73">
        <f t="shared" si="758"/>
        <v>0</v>
      </c>
      <c r="BE151" s="73">
        <f t="shared" si="758"/>
        <v>726.66</v>
      </c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3"/>
      <c r="CO151" s="73"/>
      <c r="CP151" s="73"/>
      <c r="CQ151" s="73"/>
      <c r="CR151" s="73"/>
      <c r="CS151" s="73"/>
      <c r="CT151" s="73"/>
      <c r="CU151" s="73"/>
      <c r="CV151" s="73"/>
      <c r="CW151" s="73"/>
      <c r="CX151" s="73"/>
      <c r="CY151" s="73"/>
      <c r="CZ151" s="73"/>
      <c r="DA151" s="73"/>
      <c r="DB151" s="73"/>
      <c r="DC151" s="73"/>
      <c r="DD151" s="73"/>
      <c r="DE151" s="73"/>
      <c r="DF151" s="73"/>
      <c r="DG151" s="73"/>
      <c r="DH151" s="73"/>
      <c r="DI151" s="73"/>
      <c r="DJ151" s="73"/>
      <c r="DK151" s="73"/>
      <c r="DL151" s="73"/>
      <c r="DM151" s="73"/>
      <c r="DN151" s="73"/>
      <c r="DO151" s="73"/>
      <c r="DP151" s="73"/>
      <c r="DQ151" s="73"/>
      <c r="DR151" s="73"/>
      <c r="DS151" s="73"/>
      <c r="DT151" s="73"/>
      <c r="DU151" s="74"/>
      <c r="DV151" s="74"/>
      <c r="DW151" s="72"/>
      <c r="DX151" s="72"/>
      <c r="DY151" s="72"/>
      <c r="DZ151" s="75"/>
      <c r="EA151" s="76" t="s">
        <v>128</v>
      </c>
    </row>
    <row r="152" ht="21.75" customHeight="1">
      <c r="A152" s="64"/>
      <c r="B152" s="70"/>
      <c r="C152" s="71"/>
      <c r="D152" s="71"/>
      <c r="E152" s="71"/>
      <c r="F152" s="81" t="s">
        <v>52</v>
      </c>
      <c r="G152" s="73"/>
      <c r="H152" s="73"/>
      <c r="I152" s="73"/>
      <c r="J152" s="73"/>
      <c r="K152" s="73"/>
      <c r="L152" s="73"/>
      <c r="M152" s="73">
        <f t="shared" ref="M152:M154" si="763">N152+O152</f>
        <v>216.68677</v>
      </c>
      <c r="N152" s="73">
        <v>0.0</v>
      </c>
      <c r="O152" s="73">
        <v>216.68677</v>
      </c>
      <c r="P152" s="73"/>
      <c r="Q152" s="73"/>
      <c r="R152" s="73"/>
      <c r="S152" s="73">
        <f t="shared" ref="S152:S154" si="764">T152+U152</f>
        <v>0</v>
      </c>
      <c r="T152" s="73">
        <v>0.0</v>
      </c>
      <c r="U152" s="73">
        <v>0.0</v>
      </c>
      <c r="V152" s="73"/>
      <c r="W152" s="73"/>
      <c r="X152" s="73"/>
      <c r="Y152" s="73">
        <v>0.0</v>
      </c>
      <c r="Z152" s="73">
        <v>0.0</v>
      </c>
      <c r="AA152" s="73">
        <v>0.0</v>
      </c>
      <c r="AB152" s="73"/>
      <c r="AC152" s="73"/>
      <c r="AD152" s="73"/>
      <c r="AE152" s="73">
        <f t="shared" ref="AE152:AG152" si="759">M152+S152+Y152</f>
        <v>216.68677</v>
      </c>
      <c r="AF152" s="73">
        <f t="shared" si="759"/>
        <v>0</v>
      </c>
      <c r="AG152" s="73">
        <f t="shared" si="759"/>
        <v>216.68677</v>
      </c>
      <c r="AH152" s="73"/>
      <c r="AI152" s="73"/>
      <c r="AJ152" s="73"/>
      <c r="AK152" s="73">
        <v>0.0</v>
      </c>
      <c r="AL152" s="73">
        <v>0.0</v>
      </c>
      <c r="AM152" s="73">
        <v>0.0</v>
      </c>
      <c r="AN152" s="73"/>
      <c r="AO152" s="73"/>
      <c r="AP152" s="73"/>
      <c r="AQ152" s="73">
        <f t="shared" ref="AQ152:AS152" si="760">AE152+AK152</f>
        <v>216.68677</v>
      </c>
      <c r="AR152" s="73">
        <f t="shared" si="760"/>
        <v>0</v>
      </c>
      <c r="AS152" s="73">
        <f t="shared" si="760"/>
        <v>216.68677</v>
      </c>
      <c r="AT152" s="73"/>
      <c r="AU152" s="73"/>
      <c r="AV152" s="73"/>
      <c r="AW152" s="73">
        <f t="shared" si="761"/>
        <v>0</v>
      </c>
      <c r="AX152" s="73">
        <v>0.0</v>
      </c>
      <c r="AY152" s="73">
        <v>0.0</v>
      </c>
      <c r="AZ152" s="73"/>
      <c r="BA152" s="73"/>
      <c r="BB152" s="73"/>
      <c r="BC152" s="73">
        <f t="shared" ref="BC152:BE152" si="762">AQ152+AW152</f>
        <v>216.68677</v>
      </c>
      <c r="BD152" s="73">
        <f t="shared" si="762"/>
        <v>0</v>
      </c>
      <c r="BE152" s="73">
        <f t="shared" si="762"/>
        <v>216.68677</v>
      </c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3"/>
      <c r="CO152" s="73"/>
      <c r="CP152" s="73"/>
      <c r="CQ152" s="73"/>
      <c r="CR152" s="73"/>
      <c r="CS152" s="73"/>
      <c r="CT152" s="73"/>
      <c r="CU152" s="73"/>
      <c r="CV152" s="73"/>
      <c r="CW152" s="73"/>
      <c r="CX152" s="73"/>
      <c r="CY152" s="73"/>
      <c r="CZ152" s="73"/>
      <c r="DA152" s="73"/>
      <c r="DB152" s="73"/>
      <c r="DC152" s="73"/>
      <c r="DD152" s="73"/>
      <c r="DE152" s="73"/>
      <c r="DF152" s="73"/>
      <c r="DG152" s="73"/>
      <c r="DH152" s="73"/>
      <c r="DI152" s="73"/>
      <c r="DJ152" s="73"/>
      <c r="DK152" s="73"/>
      <c r="DL152" s="73"/>
      <c r="DM152" s="73"/>
      <c r="DN152" s="73"/>
      <c r="DO152" s="73"/>
      <c r="DP152" s="73"/>
      <c r="DQ152" s="73"/>
      <c r="DR152" s="73"/>
      <c r="DS152" s="73"/>
      <c r="DT152" s="73"/>
      <c r="DU152" s="74"/>
      <c r="DV152" s="74"/>
      <c r="DW152" s="72"/>
      <c r="DX152" s="72"/>
      <c r="DY152" s="72"/>
      <c r="DZ152" s="96"/>
      <c r="EA152" s="82"/>
    </row>
    <row r="153" ht="21.75" customHeight="1">
      <c r="A153" s="64"/>
      <c r="B153" s="92"/>
      <c r="C153" s="72"/>
      <c r="D153" s="71"/>
      <c r="E153" s="71"/>
      <c r="F153" s="78" t="s">
        <v>53</v>
      </c>
      <c r="G153" s="73"/>
      <c r="H153" s="73"/>
      <c r="I153" s="73"/>
      <c r="J153" s="73"/>
      <c r="K153" s="73"/>
      <c r="L153" s="73"/>
      <c r="M153" s="79">
        <f t="shared" si="763"/>
        <v>0</v>
      </c>
      <c r="N153" s="79">
        <v>0.0</v>
      </c>
      <c r="O153" s="79">
        <v>0.0</v>
      </c>
      <c r="P153" s="79"/>
      <c r="Q153" s="79"/>
      <c r="R153" s="79"/>
      <c r="S153" s="79">
        <f t="shared" si="764"/>
        <v>0</v>
      </c>
      <c r="T153" s="79">
        <v>0.0</v>
      </c>
      <c r="U153" s="79">
        <v>0.0</v>
      </c>
      <c r="V153" s="79"/>
      <c r="W153" s="79"/>
      <c r="X153" s="79"/>
      <c r="Y153" s="79">
        <f t="shared" ref="Y153:Y154" si="768">Z153+AA153</f>
        <v>100932</v>
      </c>
      <c r="Z153" s="79">
        <v>0.0</v>
      </c>
      <c r="AA153" s="79">
        <v>100932.0</v>
      </c>
      <c r="AB153" s="79"/>
      <c r="AC153" s="79"/>
      <c r="AD153" s="79"/>
      <c r="AE153" s="79">
        <f t="shared" ref="AE153:AG153" si="765">M153+S153+Y153</f>
        <v>100932</v>
      </c>
      <c r="AF153" s="79">
        <f t="shared" si="765"/>
        <v>0</v>
      </c>
      <c r="AG153" s="79">
        <f t="shared" si="765"/>
        <v>100932</v>
      </c>
      <c r="AH153" s="73"/>
      <c r="AI153" s="73"/>
      <c r="AJ153" s="73"/>
      <c r="AK153" s="79">
        <f t="shared" ref="AK153:AK154" si="770">AL153+AM153</f>
        <v>101960.2355</v>
      </c>
      <c r="AL153" s="79">
        <v>0.0</v>
      </c>
      <c r="AM153" s="79">
        <v>101960.23548</v>
      </c>
      <c r="AN153" s="73"/>
      <c r="AO153" s="73"/>
      <c r="AP153" s="73"/>
      <c r="AQ153" s="79">
        <f t="shared" ref="AQ153:AS153" si="766">AE153+AK153</f>
        <v>202892.2355</v>
      </c>
      <c r="AR153" s="79">
        <f t="shared" si="766"/>
        <v>0</v>
      </c>
      <c r="AS153" s="79">
        <f t="shared" si="766"/>
        <v>202892.2355</v>
      </c>
      <c r="AT153" s="73"/>
      <c r="AU153" s="73"/>
      <c r="AV153" s="73"/>
      <c r="AW153" s="79">
        <v>0.0</v>
      </c>
      <c r="AX153" s="79">
        <v>0.0</v>
      </c>
      <c r="AY153" s="79">
        <v>0.0</v>
      </c>
      <c r="AZ153" s="73"/>
      <c r="BA153" s="73"/>
      <c r="BB153" s="73"/>
      <c r="BC153" s="79">
        <f t="shared" ref="BC153:BE153" si="767">AQ153+AW153</f>
        <v>202892.2355</v>
      </c>
      <c r="BD153" s="79">
        <f t="shared" si="767"/>
        <v>0</v>
      </c>
      <c r="BE153" s="79">
        <f t="shared" si="767"/>
        <v>202892.2355</v>
      </c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3"/>
      <c r="CO153" s="73"/>
      <c r="CP153" s="73"/>
      <c r="CQ153" s="73"/>
      <c r="CR153" s="73"/>
      <c r="CS153" s="73"/>
      <c r="CT153" s="73"/>
      <c r="CU153" s="73"/>
      <c r="CV153" s="73"/>
      <c r="CW153" s="73"/>
      <c r="CX153" s="73"/>
      <c r="CY153" s="73"/>
      <c r="CZ153" s="73"/>
      <c r="DA153" s="73"/>
      <c r="DB153" s="73"/>
      <c r="DC153" s="73"/>
      <c r="DD153" s="73"/>
      <c r="DE153" s="73"/>
      <c r="DF153" s="73"/>
      <c r="DG153" s="73"/>
      <c r="DH153" s="73"/>
      <c r="DI153" s="73"/>
      <c r="DJ153" s="73"/>
      <c r="DK153" s="73"/>
      <c r="DL153" s="73"/>
      <c r="DM153" s="73"/>
      <c r="DN153" s="73"/>
      <c r="DO153" s="73"/>
      <c r="DP153" s="73"/>
      <c r="DQ153" s="73"/>
      <c r="DR153" s="73"/>
      <c r="DS153" s="73"/>
      <c r="DT153" s="73"/>
      <c r="DU153" s="74"/>
      <c r="DV153" s="74"/>
      <c r="DW153" s="72"/>
      <c r="DX153" s="72"/>
      <c r="DY153" s="72"/>
      <c r="DZ153" s="75"/>
      <c r="EA153" s="76" t="s">
        <v>129</v>
      </c>
    </row>
    <row r="154" ht="21.75" customHeight="1">
      <c r="A154" s="64"/>
      <c r="B154" s="92"/>
      <c r="C154" s="72"/>
      <c r="D154" s="71"/>
      <c r="E154" s="71"/>
      <c r="F154" s="78" t="s">
        <v>55</v>
      </c>
      <c r="G154" s="73"/>
      <c r="H154" s="73"/>
      <c r="I154" s="73"/>
      <c r="J154" s="73"/>
      <c r="K154" s="73"/>
      <c r="L154" s="73"/>
      <c r="M154" s="79">
        <f t="shared" si="763"/>
        <v>0</v>
      </c>
      <c r="N154" s="79">
        <v>0.0</v>
      </c>
      <c r="O154" s="79">
        <v>0.0</v>
      </c>
      <c r="P154" s="79"/>
      <c r="Q154" s="79"/>
      <c r="R154" s="79"/>
      <c r="S154" s="79">
        <f t="shared" si="764"/>
        <v>0</v>
      </c>
      <c r="T154" s="79">
        <v>0.0</v>
      </c>
      <c r="U154" s="79">
        <v>0.0</v>
      </c>
      <c r="V154" s="79"/>
      <c r="W154" s="79"/>
      <c r="X154" s="79"/>
      <c r="Y154" s="79">
        <f t="shared" si="768"/>
        <v>0</v>
      </c>
      <c r="Z154" s="79">
        <v>0.0</v>
      </c>
      <c r="AA154" s="79">
        <v>0.0</v>
      </c>
      <c r="AB154" s="79"/>
      <c r="AC154" s="79"/>
      <c r="AD154" s="79"/>
      <c r="AE154" s="79">
        <f t="shared" ref="AE154:AG154" si="769">M154+S154+Y154</f>
        <v>0</v>
      </c>
      <c r="AF154" s="79">
        <f t="shared" si="769"/>
        <v>0</v>
      </c>
      <c r="AG154" s="79">
        <f t="shared" si="769"/>
        <v>0</v>
      </c>
      <c r="AH154" s="73"/>
      <c r="AI154" s="73"/>
      <c r="AJ154" s="73"/>
      <c r="AK154" s="79">
        <f t="shared" si="770"/>
        <v>0</v>
      </c>
      <c r="AL154" s="79">
        <v>0.0</v>
      </c>
      <c r="AM154" s="79">
        <v>0.0</v>
      </c>
      <c r="AN154" s="73"/>
      <c r="AO154" s="73"/>
      <c r="AP154" s="73"/>
      <c r="AQ154" s="79">
        <f t="shared" ref="AQ154:AS154" si="771">AE154+AK154</f>
        <v>0</v>
      </c>
      <c r="AR154" s="79">
        <f t="shared" si="771"/>
        <v>0</v>
      </c>
      <c r="AS154" s="79">
        <f t="shared" si="771"/>
        <v>0</v>
      </c>
      <c r="AT154" s="73"/>
      <c r="AU154" s="73"/>
      <c r="AV154" s="73"/>
      <c r="AW154" s="79">
        <v>5227.72308</v>
      </c>
      <c r="AX154" s="79">
        <v>0.0</v>
      </c>
      <c r="AY154" s="79">
        <v>5227.72308</v>
      </c>
      <c r="AZ154" s="73"/>
      <c r="BA154" s="73"/>
      <c r="BB154" s="73"/>
      <c r="BC154" s="79">
        <f t="shared" ref="BC154:BE154" si="772">AQ154+AW154</f>
        <v>5227.72308</v>
      </c>
      <c r="BD154" s="79">
        <f t="shared" si="772"/>
        <v>0</v>
      </c>
      <c r="BE154" s="79">
        <f t="shared" si="772"/>
        <v>5227.72308</v>
      </c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3"/>
      <c r="CO154" s="73"/>
      <c r="CP154" s="73"/>
      <c r="CQ154" s="73"/>
      <c r="CR154" s="73"/>
      <c r="CS154" s="73"/>
      <c r="CT154" s="73"/>
      <c r="CU154" s="73"/>
      <c r="CV154" s="73"/>
      <c r="CW154" s="73"/>
      <c r="CX154" s="73"/>
      <c r="CY154" s="73"/>
      <c r="CZ154" s="73"/>
      <c r="DA154" s="73"/>
      <c r="DB154" s="73"/>
      <c r="DC154" s="73"/>
      <c r="DD154" s="73"/>
      <c r="DE154" s="73"/>
      <c r="DF154" s="73"/>
      <c r="DG154" s="73"/>
      <c r="DH154" s="73"/>
      <c r="DI154" s="73"/>
      <c r="DJ154" s="73"/>
      <c r="DK154" s="73"/>
      <c r="DL154" s="73"/>
      <c r="DM154" s="73"/>
      <c r="DN154" s="73"/>
      <c r="DO154" s="73"/>
      <c r="DP154" s="73"/>
      <c r="DQ154" s="73"/>
      <c r="DR154" s="73"/>
      <c r="DS154" s="73"/>
      <c r="DT154" s="73"/>
      <c r="DU154" s="74"/>
      <c r="DV154" s="74"/>
      <c r="DW154" s="72"/>
      <c r="DX154" s="72"/>
      <c r="DY154" s="72"/>
      <c r="DZ154" s="75"/>
      <c r="EA154" s="76" t="s">
        <v>130</v>
      </c>
    </row>
    <row r="155" ht="21.75" customHeight="1">
      <c r="A155" s="64"/>
      <c r="B155" s="70" t="s">
        <v>40</v>
      </c>
      <c r="C155" s="71" t="s">
        <v>131</v>
      </c>
      <c r="D155" s="71" t="s">
        <v>41</v>
      </c>
      <c r="E155" s="71" t="s">
        <v>102</v>
      </c>
      <c r="F155" s="72" t="s">
        <v>132</v>
      </c>
      <c r="G155" s="73">
        <v>1332223.0</v>
      </c>
      <c r="H155" s="73">
        <v>0.0</v>
      </c>
      <c r="I155" s="73">
        <v>1332223.0</v>
      </c>
      <c r="J155" s="73">
        <f t="shared" ref="J155:L155" si="773">J156+J158+J161</f>
        <v>0</v>
      </c>
      <c r="K155" s="73">
        <f t="shared" si="773"/>
        <v>0</v>
      </c>
      <c r="L155" s="73">
        <f t="shared" si="773"/>
        <v>0</v>
      </c>
      <c r="M155" s="73">
        <f t="shared" ref="M155:O155" si="774">M156+M158+M161+M164+M165</f>
        <v>9608.355</v>
      </c>
      <c r="N155" s="73">
        <f t="shared" si="774"/>
        <v>0</v>
      </c>
      <c r="O155" s="73">
        <f t="shared" si="774"/>
        <v>9608.355</v>
      </c>
      <c r="P155" s="73">
        <f t="shared" ref="P155:R155" si="775">P156+P158+P161</f>
        <v>0</v>
      </c>
      <c r="Q155" s="73">
        <f t="shared" si="775"/>
        <v>0</v>
      </c>
      <c r="R155" s="73">
        <f t="shared" si="775"/>
        <v>0</v>
      </c>
      <c r="S155" s="73">
        <f t="shared" ref="S155:U155" si="776">S156+S158+S161+S164+S165</f>
        <v>134864.0082</v>
      </c>
      <c r="T155" s="73">
        <f t="shared" si="776"/>
        <v>0</v>
      </c>
      <c r="U155" s="73">
        <f t="shared" si="776"/>
        <v>134864.0082</v>
      </c>
      <c r="V155" s="73">
        <v>1693.0</v>
      </c>
      <c r="W155" s="73">
        <f>W156+W158+W161</f>
        <v>0</v>
      </c>
      <c r="X155" s="73">
        <v>1693.0</v>
      </c>
      <c r="Y155" s="73">
        <f t="shared" ref="Y155:AA155" si="777">Y156+Y158+Y161+Y164+Y165</f>
        <v>3388</v>
      </c>
      <c r="Z155" s="73">
        <f t="shared" si="777"/>
        <v>0</v>
      </c>
      <c r="AA155" s="73">
        <f t="shared" si="777"/>
        <v>3388</v>
      </c>
      <c r="AB155" s="73">
        <f t="shared" ref="AB155:AG155" si="778">J155+P155+V155</f>
        <v>1693</v>
      </c>
      <c r="AC155" s="73">
        <f t="shared" si="778"/>
        <v>0</v>
      </c>
      <c r="AD155" s="73">
        <f t="shared" si="778"/>
        <v>1693</v>
      </c>
      <c r="AE155" s="73">
        <f t="shared" si="778"/>
        <v>147860.3632</v>
      </c>
      <c r="AF155" s="73">
        <f t="shared" si="778"/>
        <v>0</v>
      </c>
      <c r="AG155" s="73">
        <f t="shared" si="778"/>
        <v>147860.3632</v>
      </c>
      <c r="AH155" s="73">
        <v>5739.0</v>
      </c>
      <c r="AI155" s="73">
        <v>0.0</v>
      </c>
      <c r="AJ155" s="73">
        <v>5739.0</v>
      </c>
      <c r="AK155" s="73">
        <f t="shared" ref="AK155:AM155" si="779">AK156+AK158+AK161+AK164+AK165</f>
        <v>42246.49341</v>
      </c>
      <c r="AL155" s="73">
        <f t="shared" si="779"/>
        <v>0</v>
      </c>
      <c r="AM155" s="73">
        <f t="shared" si="779"/>
        <v>42246.49341</v>
      </c>
      <c r="AN155" s="73">
        <f t="shared" ref="AN155:AS155" si="780">AB155+AH155</f>
        <v>7432</v>
      </c>
      <c r="AO155" s="73">
        <f t="shared" si="780"/>
        <v>0</v>
      </c>
      <c r="AP155" s="73">
        <f t="shared" si="780"/>
        <v>7432</v>
      </c>
      <c r="AQ155" s="73">
        <f t="shared" si="780"/>
        <v>190106.8567</v>
      </c>
      <c r="AR155" s="73">
        <f t="shared" si="780"/>
        <v>0</v>
      </c>
      <c r="AS155" s="73">
        <f t="shared" si="780"/>
        <v>190106.8567</v>
      </c>
      <c r="AT155" s="73">
        <v>8609.0</v>
      </c>
      <c r="AU155" s="73">
        <f>AU156+AU158+AU161</f>
        <v>0</v>
      </c>
      <c r="AV155" s="73">
        <v>8609.0</v>
      </c>
      <c r="AW155" s="73">
        <f t="shared" ref="AW155:AY155" si="781">AW156+AW158+AW161+AW164+AW165</f>
        <v>3820.73699</v>
      </c>
      <c r="AX155" s="73">
        <f t="shared" si="781"/>
        <v>0</v>
      </c>
      <c r="AY155" s="73">
        <f t="shared" si="781"/>
        <v>3820.73699</v>
      </c>
      <c r="AZ155" s="73">
        <f t="shared" ref="AZ155:BE155" si="782">AN155+AT155</f>
        <v>16041</v>
      </c>
      <c r="BA155" s="73">
        <f t="shared" si="782"/>
        <v>0</v>
      </c>
      <c r="BB155" s="73">
        <f t="shared" si="782"/>
        <v>16041</v>
      </c>
      <c r="BC155" s="73">
        <f t="shared" si="782"/>
        <v>193927.5936</v>
      </c>
      <c r="BD155" s="73">
        <f t="shared" si="782"/>
        <v>0</v>
      </c>
      <c r="BE155" s="73">
        <f t="shared" si="782"/>
        <v>193927.5936</v>
      </c>
      <c r="BF155" s="73">
        <f t="shared" ref="BF155:DY155" si="783">BF156+BF158+BF161</f>
        <v>0</v>
      </c>
      <c r="BG155" s="73">
        <f t="shared" si="783"/>
        <v>0</v>
      </c>
      <c r="BH155" s="73">
        <f t="shared" si="783"/>
        <v>0</v>
      </c>
      <c r="BI155" s="73">
        <f t="shared" si="783"/>
        <v>0</v>
      </c>
      <c r="BJ155" s="73">
        <f t="shared" si="783"/>
        <v>0</v>
      </c>
      <c r="BK155" s="73">
        <f t="shared" si="783"/>
        <v>0</v>
      </c>
      <c r="BL155" s="73">
        <f t="shared" si="783"/>
        <v>0</v>
      </c>
      <c r="BM155" s="73">
        <f t="shared" si="783"/>
        <v>0</v>
      </c>
      <c r="BN155" s="73">
        <f t="shared" si="783"/>
        <v>0</v>
      </c>
      <c r="BO155" s="73">
        <f t="shared" si="783"/>
        <v>0</v>
      </c>
      <c r="BP155" s="73">
        <f t="shared" si="783"/>
        <v>0</v>
      </c>
      <c r="BQ155" s="73">
        <f t="shared" si="783"/>
        <v>0</v>
      </c>
      <c r="BR155" s="73">
        <f t="shared" si="783"/>
        <v>0</v>
      </c>
      <c r="BS155" s="73">
        <f t="shared" si="783"/>
        <v>0</v>
      </c>
      <c r="BT155" s="73">
        <f t="shared" si="783"/>
        <v>0</v>
      </c>
      <c r="BU155" s="73">
        <f t="shared" si="783"/>
        <v>0</v>
      </c>
      <c r="BV155" s="73">
        <f t="shared" si="783"/>
        <v>0</v>
      </c>
      <c r="BW155" s="73">
        <f t="shared" si="783"/>
        <v>0</v>
      </c>
      <c r="BX155" s="73">
        <f t="shared" si="783"/>
        <v>0</v>
      </c>
      <c r="BY155" s="73">
        <f t="shared" si="783"/>
        <v>0</v>
      </c>
      <c r="BZ155" s="73">
        <f t="shared" si="783"/>
        <v>0</v>
      </c>
      <c r="CA155" s="73">
        <f t="shared" si="783"/>
        <v>0</v>
      </c>
      <c r="CB155" s="73">
        <f t="shared" si="783"/>
        <v>0</v>
      </c>
      <c r="CC155" s="73">
        <f t="shared" si="783"/>
        <v>0</v>
      </c>
      <c r="CD155" s="73">
        <f t="shared" si="783"/>
        <v>0</v>
      </c>
      <c r="CE155" s="73">
        <f t="shared" si="783"/>
        <v>0</v>
      </c>
      <c r="CF155" s="73">
        <f t="shared" si="783"/>
        <v>0</v>
      </c>
      <c r="CG155" s="73">
        <f t="shared" si="783"/>
        <v>0</v>
      </c>
      <c r="CH155" s="73">
        <f t="shared" si="783"/>
        <v>0</v>
      </c>
      <c r="CI155" s="73">
        <f t="shared" si="783"/>
        <v>0</v>
      </c>
      <c r="CJ155" s="73">
        <f t="shared" si="783"/>
        <v>0</v>
      </c>
      <c r="CK155" s="73">
        <f t="shared" si="783"/>
        <v>0</v>
      </c>
      <c r="CL155" s="73">
        <f t="shared" si="783"/>
        <v>0</v>
      </c>
      <c r="CM155" s="73">
        <f t="shared" si="783"/>
        <v>0</v>
      </c>
      <c r="CN155" s="73">
        <f t="shared" si="783"/>
        <v>0</v>
      </c>
      <c r="CO155" s="73">
        <f t="shared" si="783"/>
        <v>0</v>
      </c>
      <c r="CP155" s="73">
        <f t="shared" si="783"/>
        <v>0</v>
      </c>
      <c r="CQ155" s="73">
        <f t="shared" si="783"/>
        <v>0</v>
      </c>
      <c r="CR155" s="73">
        <f t="shared" si="783"/>
        <v>0</v>
      </c>
      <c r="CS155" s="73">
        <f t="shared" si="783"/>
        <v>0</v>
      </c>
      <c r="CT155" s="73">
        <f t="shared" si="783"/>
        <v>0</v>
      </c>
      <c r="CU155" s="73">
        <f t="shared" si="783"/>
        <v>0</v>
      </c>
      <c r="CV155" s="73">
        <f t="shared" si="783"/>
        <v>0</v>
      </c>
      <c r="CW155" s="73">
        <f t="shared" si="783"/>
        <v>0</v>
      </c>
      <c r="CX155" s="73">
        <f t="shared" si="783"/>
        <v>0</v>
      </c>
      <c r="CY155" s="73">
        <f t="shared" si="783"/>
        <v>0</v>
      </c>
      <c r="CZ155" s="73">
        <f t="shared" si="783"/>
        <v>0</v>
      </c>
      <c r="DA155" s="73">
        <f t="shared" si="783"/>
        <v>0</v>
      </c>
      <c r="DB155" s="73">
        <f t="shared" si="783"/>
        <v>0</v>
      </c>
      <c r="DC155" s="73">
        <f t="shared" si="783"/>
        <v>0</v>
      </c>
      <c r="DD155" s="73">
        <f t="shared" si="783"/>
        <v>0</v>
      </c>
      <c r="DE155" s="73">
        <f t="shared" si="783"/>
        <v>0</v>
      </c>
      <c r="DF155" s="73">
        <f t="shared" si="783"/>
        <v>0</v>
      </c>
      <c r="DG155" s="73">
        <f t="shared" si="783"/>
        <v>0</v>
      </c>
      <c r="DH155" s="73">
        <f t="shared" si="783"/>
        <v>0</v>
      </c>
      <c r="DI155" s="73">
        <f t="shared" si="783"/>
        <v>0</v>
      </c>
      <c r="DJ155" s="73">
        <f t="shared" si="783"/>
        <v>0</v>
      </c>
      <c r="DK155" s="73">
        <f t="shared" si="783"/>
        <v>0</v>
      </c>
      <c r="DL155" s="73">
        <f t="shared" si="783"/>
        <v>0</v>
      </c>
      <c r="DM155" s="73">
        <f t="shared" si="783"/>
        <v>0</v>
      </c>
      <c r="DN155" s="73">
        <f t="shared" si="783"/>
        <v>0</v>
      </c>
      <c r="DO155" s="73">
        <f t="shared" si="783"/>
        <v>0</v>
      </c>
      <c r="DP155" s="73">
        <f t="shared" si="783"/>
        <v>0</v>
      </c>
      <c r="DQ155" s="73">
        <f t="shared" si="783"/>
        <v>0</v>
      </c>
      <c r="DR155" s="73">
        <f t="shared" si="783"/>
        <v>0</v>
      </c>
      <c r="DS155" s="73">
        <f t="shared" si="783"/>
        <v>0</v>
      </c>
      <c r="DT155" s="73">
        <f t="shared" si="783"/>
        <v>0</v>
      </c>
      <c r="DU155" s="73">
        <f t="shared" si="783"/>
        <v>0</v>
      </c>
      <c r="DV155" s="73">
        <f t="shared" si="783"/>
        <v>0</v>
      </c>
      <c r="DW155" s="73">
        <f t="shared" si="783"/>
        <v>0</v>
      </c>
      <c r="DX155" s="73">
        <f t="shared" si="783"/>
        <v>0</v>
      </c>
      <c r="DY155" s="73">
        <f t="shared" si="783"/>
        <v>0</v>
      </c>
      <c r="DZ155" s="74"/>
      <c r="EA155" s="76"/>
    </row>
    <row r="156" ht="21.75" customHeight="1">
      <c r="A156" s="64"/>
      <c r="B156" s="70"/>
      <c r="C156" s="71"/>
      <c r="D156" s="71"/>
      <c r="E156" s="71"/>
      <c r="F156" s="78" t="s">
        <v>46</v>
      </c>
      <c r="G156" s="73"/>
      <c r="H156" s="73"/>
      <c r="I156" s="73"/>
      <c r="J156" s="73"/>
      <c r="K156" s="73"/>
      <c r="L156" s="73"/>
      <c r="M156" s="79">
        <f t="shared" ref="M156:O156" si="784">M157</f>
        <v>0</v>
      </c>
      <c r="N156" s="79">
        <f t="shared" si="784"/>
        <v>0</v>
      </c>
      <c r="O156" s="79">
        <f t="shared" si="784"/>
        <v>0</v>
      </c>
      <c r="P156" s="73"/>
      <c r="Q156" s="73"/>
      <c r="R156" s="73"/>
      <c r="S156" s="79">
        <f t="shared" ref="S156:U156" si="785">S157</f>
        <v>2947.5098</v>
      </c>
      <c r="T156" s="79">
        <f t="shared" si="785"/>
        <v>0</v>
      </c>
      <c r="U156" s="79">
        <f t="shared" si="785"/>
        <v>2947.5098</v>
      </c>
      <c r="V156" s="73"/>
      <c r="W156" s="73"/>
      <c r="X156" s="73"/>
      <c r="Y156" s="79">
        <f t="shared" ref="Y156:AA156" si="786">Y157</f>
        <v>0</v>
      </c>
      <c r="Z156" s="79">
        <f t="shared" si="786"/>
        <v>0</v>
      </c>
      <c r="AA156" s="79">
        <f t="shared" si="786"/>
        <v>0</v>
      </c>
      <c r="AB156" s="73"/>
      <c r="AC156" s="73"/>
      <c r="AD156" s="73"/>
      <c r="AE156" s="79">
        <f t="shared" ref="AE156:AG156" si="787">M156+S156+Y156</f>
        <v>2947.5098</v>
      </c>
      <c r="AF156" s="79">
        <f t="shared" si="787"/>
        <v>0</v>
      </c>
      <c r="AG156" s="79">
        <f t="shared" si="787"/>
        <v>2947.5098</v>
      </c>
      <c r="AH156" s="73"/>
      <c r="AI156" s="73"/>
      <c r="AJ156" s="73"/>
      <c r="AK156" s="79">
        <f t="shared" ref="AK156:AM156" si="788">AK157</f>
        <v>0</v>
      </c>
      <c r="AL156" s="79">
        <f t="shared" si="788"/>
        <v>0</v>
      </c>
      <c r="AM156" s="79">
        <f t="shared" si="788"/>
        <v>0</v>
      </c>
      <c r="AN156" s="73"/>
      <c r="AO156" s="73"/>
      <c r="AP156" s="73"/>
      <c r="AQ156" s="79">
        <f t="shared" ref="AQ156:AS156" si="789">AE156+AK156</f>
        <v>2947.5098</v>
      </c>
      <c r="AR156" s="79">
        <f t="shared" si="789"/>
        <v>0</v>
      </c>
      <c r="AS156" s="79">
        <f t="shared" si="789"/>
        <v>2947.5098</v>
      </c>
      <c r="AT156" s="73"/>
      <c r="AU156" s="73"/>
      <c r="AV156" s="73"/>
      <c r="AW156" s="79">
        <v>0.0</v>
      </c>
      <c r="AX156" s="79">
        <v>0.0</v>
      </c>
      <c r="AY156" s="79">
        <v>0.0</v>
      </c>
      <c r="AZ156" s="73"/>
      <c r="BA156" s="73"/>
      <c r="BB156" s="73"/>
      <c r="BC156" s="79">
        <f t="shared" ref="BC156:BE156" si="790">AQ156+AW156</f>
        <v>2947.5098</v>
      </c>
      <c r="BD156" s="79">
        <f t="shared" si="790"/>
        <v>0</v>
      </c>
      <c r="BE156" s="79">
        <f t="shared" si="790"/>
        <v>2947.5098</v>
      </c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3"/>
      <c r="CO156" s="73"/>
      <c r="CP156" s="73"/>
      <c r="CQ156" s="73"/>
      <c r="CR156" s="73"/>
      <c r="CS156" s="73"/>
      <c r="CT156" s="73"/>
      <c r="CU156" s="73"/>
      <c r="CV156" s="73"/>
      <c r="CW156" s="73"/>
      <c r="CX156" s="73"/>
      <c r="CY156" s="73"/>
      <c r="CZ156" s="73"/>
      <c r="DA156" s="73"/>
      <c r="DB156" s="73"/>
      <c r="DC156" s="73"/>
      <c r="DD156" s="73"/>
      <c r="DE156" s="73"/>
      <c r="DF156" s="73"/>
      <c r="DG156" s="73"/>
      <c r="DH156" s="73"/>
      <c r="DI156" s="73"/>
      <c r="DJ156" s="73"/>
      <c r="DK156" s="73"/>
      <c r="DL156" s="73"/>
      <c r="DM156" s="73"/>
      <c r="DN156" s="73"/>
      <c r="DO156" s="73"/>
      <c r="DP156" s="73"/>
      <c r="DQ156" s="73"/>
      <c r="DR156" s="73"/>
      <c r="DS156" s="73"/>
      <c r="DT156" s="73"/>
      <c r="DU156" s="74"/>
      <c r="DV156" s="74"/>
      <c r="DW156" s="74"/>
      <c r="DX156" s="74"/>
      <c r="DY156" s="74"/>
      <c r="DZ156" s="74"/>
      <c r="EA156" s="82"/>
    </row>
    <row r="157" ht="21.75" customHeight="1">
      <c r="A157" s="64"/>
      <c r="B157" s="70"/>
      <c r="C157" s="71"/>
      <c r="D157" s="71"/>
      <c r="E157" s="71"/>
      <c r="F157" s="81" t="s">
        <v>47</v>
      </c>
      <c r="G157" s="73"/>
      <c r="H157" s="73"/>
      <c r="I157" s="73"/>
      <c r="J157" s="73"/>
      <c r="K157" s="73"/>
      <c r="L157" s="73"/>
      <c r="M157" s="73">
        <f>N157+O157</f>
        <v>0</v>
      </c>
      <c r="N157" s="73">
        <v>0.0</v>
      </c>
      <c r="O157" s="73">
        <v>0.0</v>
      </c>
      <c r="P157" s="73"/>
      <c r="Q157" s="73"/>
      <c r="R157" s="73"/>
      <c r="S157" s="73">
        <f>T157+U157</f>
        <v>2947.5098</v>
      </c>
      <c r="T157" s="73">
        <v>0.0</v>
      </c>
      <c r="U157" s="73">
        <f>2947.5098</f>
        <v>2947.5098</v>
      </c>
      <c r="V157" s="73"/>
      <c r="W157" s="73"/>
      <c r="X157" s="73"/>
      <c r="Y157" s="73">
        <f>Z157+AA157</f>
        <v>0</v>
      </c>
      <c r="Z157" s="73">
        <v>0.0</v>
      </c>
      <c r="AA157" s="73">
        <v>0.0</v>
      </c>
      <c r="AB157" s="73"/>
      <c r="AC157" s="73"/>
      <c r="AD157" s="73"/>
      <c r="AE157" s="73">
        <f t="shared" ref="AE157:AG157" si="791">M157+S157+Y157</f>
        <v>2947.5098</v>
      </c>
      <c r="AF157" s="73">
        <f t="shared" si="791"/>
        <v>0</v>
      </c>
      <c r="AG157" s="73">
        <f t="shared" si="791"/>
        <v>2947.5098</v>
      </c>
      <c r="AH157" s="73"/>
      <c r="AI157" s="73"/>
      <c r="AJ157" s="73"/>
      <c r="AK157" s="73">
        <v>0.0</v>
      </c>
      <c r="AL157" s="73">
        <v>0.0</v>
      </c>
      <c r="AM157" s="73">
        <v>0.0</v>
      </c>
      <c r="AN157" s="73"/>
      <c r="AO157" s="73"/>
      <c r="AP157" s="73"/>
      <c r="AQ157" s="73">
        <f t="shared" ref="AQ157:AS157" si="792">AE157+AK157</f>
        <v>2947.5098</v>
      </c>
      <c r="AR157" s="73">
        <f t="shared" si="792"/>
        <v>0</v>
      </c>
      <c r="AS157" s="73">
        <f t="shared" si="792"/>
        <v>2947.5098</v>
      </c>
      <c r="AT157" s="73"/>
      <c r="AU157" s="73"/>
      <c r="AV157" s="73"/>
      <c r="AW157" s="73">
        <v>0.0</v>
      </c>
      <c r="AX157" s="73">
        <v>0.0</v>
      </c>
      <c r="AY157" s="73">
        <v>0.0</v>
      </c>
      <c r="AZ157" s="73"/>
      <c r="BA157" s="73"/>
      <c r="BB157" s="73"/>
      <c r="BC157" s="73">
        <f t="shared" ref="BC157:BE157" si="793">AQ157+AW157</f>
        <v>2947.5098</v>
      </c>
      <c r="BD157" s="73">
        <f t="shared" si="793"/>
        <v>0</v>
      </c>
      <c r="BE157" s="73">
        <f t="shared" si="793"/>
        <v>2947.5098</v>
      </c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3"/>
      <c r="CO157" s="73"/>
      <c r="CP157" s="73"/>
      <c r="CQ157" s="73"/>
      <c r="CR157" s="73"/>
      <c r="CS157" s="73"/>
      <c r="CT157" s="73"/>
      <c r="CU157" s="73"/>
      <c r="CV157" s="73"/>
      <c r="CW157" s="73"/>
      <c r="CX157" s="73"/>
      <c r="CY157" s="73"/>
      <c r="CZ157" s="73"/>
      <c r="DA157" s="73"/>
      <c r="DB157" s="73"/>
      <c r="DC157" s="73"/>
      <c r="DD157" s="73"/>
      <c r="DE157" s="73"/>
      <c r="DF157" s="73"/>
      <c r="DG157" s="73"/>
      <c r="DH157" s="73"/>
      <c r="DI157" s="73"/>
      <c r="DJ157" s="73"/>
      <c r="DK157" s="73"/>
      <c r="DL157" s="73"/>
      <c r="DM157" s="73"/>
      <c r="DN157" s="73"/>
      <c r="DO157" s="73"/>
      <c r="DP157" s="73"/>
      <c r="DQ157" s="73"/>
      <c r="DR157" s="73"/>
      <c r="DS157" s="73"/>
      <c r="DT157" s="73"/>
      <c r="DU157" s="74"/>
      <c r="DV157" s="74"/>
      <c r="DW157" s="74"/>
      <c r="DX157" s="74"/>
      <c r="DY157" s="74"/>
      <c r="DZ157" s="74"/>
      <c r="EA157" s="82"/>
    </row>
    <row r="158" ht="21.75" customHeight="1">
      <c r="A158" s="64"/>
      <c r="B158" s="70"/>
      <c r="C158" s="71"/>
      <c r="D158" s="71"/>
      <c r="E158" s="71"/>
      <c r="F158" s="78" t="s">
        <v>48</v>
      </c>
      <c r="G158" s="73"/>
      <c r="H158" s="73"/>
      <c r="I158" s="73"/>
      <c r="J158" s="73"/>
      <c r="K158" s="73"/>
      <c r="L158" s="73"/>
      <c r="M158" s="79">
        <f t="shared" ref="M158:O158" si="794">M159+M160</f>
        <v>9608.355</v>
      </c>
      <c r="N158" s="79">
        <f t="shared" si="794"/>
        <v>0</v>
      </c>
      <c r="O158" s="79">
        <f t="shared" si="794"/>
        <v>9608.355</v>
      </c>
      <c r="P158" s="79"/>
      <c r="Q158" s="79"/>
      <c r="R158" s="79"/>
      <c r="S158" s="79">
        <f t="shared" ref="S158:U158" si="795">S159+S160</f>
        <v>5793.53397</v>
      </c>
      <c r="T158" s="79">
        <f t="shared" si="795"/>
        <v>0</v>
      </c>
      <c r="U158" s="79">
        <f t="shared" si="795"/>
        <v>5793.53397</v>
      </c>
      <c r="V158" s="79"/>
      <c r="W158" s="79"/>
      <c r="X158" s="79"/>
      <c r="Y158" s="79">
        <f t="shared" ref="Y158:AA158" si="796">Y159+Y160</f>
        <v>3215</v>
      </c>
      <c r="Z158" s="79">
        <f t="shared" si="796"/>
        <v>0</v>
      </c>
      <c r="AA158" s="79">
        <f t="shared" si="796"/>
        <v>3215</v>
      </c>
      <c r="AB158" s="79"/>
      <c r="AC158" s="79"/>
      <c r="AD158" s="79"/>
      <c r="AE158" s="79">
        <f t="shared" ref="AE158:AG158" si="797">M158+S158+Y158</f>
        <v>18616.88897</v>
      </c>
      <c r="AF158" s="79">
        <f t="shared" si="797"/>
        <v>0</v>
      </c>
      <c r="AG158" s="79">
        <f t="shared" si="797"/>
        <v>18616.88897</v>
      </c>
      <c r="AH158" s="73"/>
      <c r="AI158" s="73"/>
      <c r="AJ158" s="73"/>
      <c r="AK158" s="79">
        <f t="shared" ref="AK158:AM158" si="798">AK159+AK160</f>
        <v>4584.4841</v>
      </c>
      <c r="AL158" s="79">
        <f t="shared" si="798"/>
        <v>0</v>
      </c>
      <c r="AM158" s="79">
        <f t="shared" si="798"/>
        <v>4584.4841</v>
      </c>
      <c r="AN158" s="73"/>
      <c r="AO158" s="73"/>
      <c r="AP158" s="73"/>
      <c r="AQ158" s="79">
        <f t="shared" ref="AQ158:AS158" si="799">AE158+AK158</f>
        <v>23201.37307</v>
      </c>
      <c r="AR158" s="79">
        <f t="shared" si="799"/>
        <v>0</v>
      </c>
      <c r="AS158" s="79">
        <f t="shared" si="799"/>
        <v>23201.37307</v>
      </c>
      <c r="AT158" s="73"/>
      <c r="AU158" s="73"/>
      <c r="AV158" s="73"/>
      <c r="AW158" s="79">
        <f t="shared" ref="AW158:AY158" si="800">AW159+AW160</f>
        <v>2850.56053</v>
      </c>
      <c r="AX158" s="79">
        <f t="shared" si="800"/>
        <v>0</v>
      </c>
      <c r="AY158" s="79">
        <f t="shared" si="800"/>
        <v>2850.56053</v>
      </c>
      <c r="AZ158" s="73"/>
      <c r="BA158" s="73"/>
      <c r="BB158" s="73"/>
      <c r="BC158" s="79">
        <f t="shared" ref="BC158:BE158" si="801">AQ158+AW158</f>
        <v>26051.9336</v>
      </c>
      <c r="BD158" s="79">
        <f t="shared" si="801"/>
        <v>0</v>
      </c>
      <c r="BE158" s="79">
        <f t="shared" si="801"/>
        <v>26051.9336</v>
      </c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3"/>
      <c r="CO158" s="73"/>
      <c r="CP158" s="73"/>
      <c r="CQ158" s="73"/>
      <c r="CR158" s="73"/>
      <c r="CS158" s="73"/>
      <c r="CT158" s="73"/>
      <c r="CU158" s="73"/>
      <c r="CV158" s="73"/>
      <c r="CW158" s="73"/>
      <c r="CX158" s="73"/>
      <c r="CY158" s="73"/>
      <c r="CZ158" s="73"/>
      <c r="DA158" s="73"/>
      <c r="DB158" s="73"/>
      <c r="DC158" s="73"/>
      <c r="DD158" s="73"/>
      <c r="DE158" s="73"/>
      <c r="DF158" s="73"/>
      <c r="DG158" s="73"/>
      <c r="DH158" s="73"/>
      <c r="DI158" s="73"/>
      <c r="DJ158" s="73"/>
      <c r="DK158" s="73"/>
      <c r="DL158" s="73"/>
      <c r="DM158" s="73"/>
      <c r="DN158" s="73"/>
      <c r="DO158" s="73"/>
      <c r="DP158" s="73"/>
      <c r="DQ158" s="73"/>
      <c r="DR158" s="73"/>
      <c r="DS158" s="73"/>
      <c r="DT158" s="73"/>
      <c r="DU158" s="74"/>
      <c r="DV158" s="74"/>
      <c r="DW158" s="74"/>
      <c r="DX158" s="74"/>
      <c r="DY158" s="74"/>
      <c r="DZ158" s="74"/>
      <c r="EA158" s="82"/>
    </row>
    <row r="159" ht="21.75" customHeight="1">
      <c r="A159" s="64"/>
      <c r="B159" s="70"/>
      <c r="C159" s="71"/>
      <c r="D159" s="71"/>
      <c r="E159" s="71"/>
      <c r="F159" s="81" t="s">
        <v>47</v>
      </c>
      <c r="G159" s="73"/>
      <c r="H159" s="73"/>
      <c r="I159" s="73"/>
      <c r="J159" s="73"/>
      <c r="K159" s="73"/>
      <c r="L159" s="73"/>
      <c r="M159" s="73">
        <f>N159+O159</f>
        <v>9608.355</v>
      </c>
      <c r="N159" s="73">
        <v>0.0</v>
      </c>
      <c r="O159" s="73">
        <v>9608.355</v>
      </c>
      <c r="P159" s="73"/>
      <c r="Q159" s="73"/>
      <c r="R159" s="73"/>
      <c r="S159" s="73">
        <f>T159+U159</f>
        <v>5793.53397</v>
      </c>
      <c r="T159" s="73">
        <v>0.0</v>
      </c>
      <c r="U159" s="73">
        <v>5793.53397</v>
      </c>
      <c r="V159" s="73"/>
      <c r="W159" s="73"/>
      <c r="X159" s="73"/>
      <c r="Y159" s="73">
        <v>3240.8965</v>
      </c>
      <c r="Z159" s="73">
        <v>0.0</v>
      </c>
      <c r="AA159" s="73">
        <v>3240.8965</v>
      </c>
      <c r="AB159" s="73"/>
      <c r="AC159" s="73"/>
      <c r="AD159" s="73"/>
      <c r="AE159" s="73">
        <f t="shared" ref="AE159:AG159" si="802">M159+S159+Y159</f>
        <v>18642.78547</v>
      </c>
      <c r="AF159" s="73">
        <f t="shared" si="802"/>
        <v>0</v>
      </c>
      <c r="AG159" s="73">
        <f t="shared" si="802"/>
        <v>18642.78547</v>
      </c>
      <c r="AH159" s="73"/>
      <c r="AI159" s="73"/>
      <c r="AJ159" s="73"/>
      <c r="AK159" s="73">
        <f>AL159+AM159</f>
        <v>4584.4841</v>
      </c>
      <c r="AL159" s="73">
        <v>0.0</v>
      </c>
      <c r="AM159" s="73">
        <f>2725.27207+1859.21203</f>
        <v>4584.4841</v>
      </c>
      <c r="AN159" s="73"/>
      <c r="AO159" s="73"/>
      <c r="AP159" s="73"/>
      <c r="AQ159" s="73">
        <f t="shared" ref="AQ159:AS159" si="803">AE159+AK159</f>
        <v>23227.26957</v>
      </c>
      <c r="AR159" s="73">
        <f t="shared" si="803"/>
        <v>0</v>
      </c>
      <c r="AS159" s="73">
        <f t="shared" si="803"/>
        <v>23227.26957</v>
      </c>
      <c r="AT159" s="73"/>
      <c r="AU159" s="73"/>
      <c r="AV159" s="73"/>
      <c r="AW159" s="73">
        <f>585.55239+2453.61315</f>
        <v>3039.16554</v>
      </c>
      <c r="AX159" s="73">
        <v>0.0</v>
      </c>
      <c r="AY159" s="73">
        <f>585.55239+2453.61315</f>
        <v>3039.16554</v>
      </c>
      <c r="AZ159" s="73"/>
      <c r="BA159" s="73"/>
      <c r="BB159" s="73"/>
      <c r="BC159" s="73">
        <f t="shared" ref="BC159:BE159" si="804">AQ159+AW159</f>
        <v>26266.43511</v>
      </c>
      <c r="BD159" s="73">
        <f t="shared" si="804"/>
        <v>0</v>
      </c>
      <c r="BE159" s="73">
        <f t="shared" si="804"/>
        <v>26266.43511</v>
      </c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3"/>
      <c r="CO159" s="73"/>
      <c r="CP159" s="73"/>
      <c r="CQ159" s="73"/>
      <c r="CR159" s="73"/>
      <c r="CS159" s="73"/>
      <c r="CT159" s="73"/>
      <c r="CU159" s="73"/>
      <c r="CV159" s="73"/>
      <c r="CW159" s="73"/>
      <c r="CX159" s="73"/>
      <c r="CY159" s="73"/>
      <c r="CZ159" s="73"/>
      <c r="DA159" s="73"/>
      <c r="DB159" s="73"/>
      <c r="DC159" s="73"/>
      <c r="DD159" s="73"/>
      <c r="DE159" s="73"/>
      <c r="DF159" s="73"/>
      <c r="DG159" s="73"/>
      <c r="DH159" s="73"/>
      <c r="DI159" s="73"/>
      <c r="DJ159" s="73"/>
      <c r="DK159" s="73"/>
      <c r="DL159" s="73"/>
      <c r="DM159" s="73"/>
      <c r="DN159" s="73"/>
      <c r="DO159" s="73"/>
      <c r="DP159" s="73"/>
      <c r="DQ159" s="73"/>
      <c r="DR159" s="73"/>
      <c r="DS159" s="73"/>
      <c r="DT159" s="73"/>
      <c r="DU159" s="74"/>
      <c r="DV159" s="74"/>
      <c r="DW159" s="74"/>
      <c r="DX159" s="74"/>
      <c r="DY159" s="74"/>
      <c r="DZ159" s="74"/>
      <c r="EA159" s="82" t="s">
        <v>133</v>
      </c>
    </row>
    <row r="160" ht="21.75" customHeight="1">
      <c r="A160" s="64"/>
      <c r="B160" s="70"/>
      <c r="C160" s="71"/>
      <c r="D160" s="71"/>
      <c r="E160" s="71"/>
      <c r="F160" s="81" t="s">
        <v>50</v>
      </c>
      <c r="G160" s="73"/>
      <c r="H160" s="73"/>
      <c r="I160" s="73"/>
      <c r="J160" s="73"/>
      <c r="K160" s="73"/>
      <c r="L160" s="73"/>
      <c r="M160" s="73">
        <v>0.0</v>
      </c>
      <c r="N160" s="73">
        <v>0.0</v>
      </c>
      <c r="O160" s="73">
        <v>0.0</v>
      </c>
      <c r="P160" s="73"/>
      <c r="Q160" s="73"/>
      <c r="R160" s="73"/>
      <c r="S160" s="73">
        <v>0.0</v>
      </c>
      <c r="T160" s="73">
        <v>0.0</v>
      </c>
      <c r="U160" s="73">
        <v>0.0</v>
      </c>
      <c r="V160" s="73"/>
      <c r="W160" s="73"/>
      <c r="X160" s="73"/>
      <c r="Y160" s="73">
        <v>-25.896499999999833</v>
      </c>
      <c r="Z160" s="73">
        <v>0.0</v>
      </c>
      <c r="AA160" s="73">
        <v>-25.896499999999833</v>
      </c>
      <c r="AB160" s="73"/>
      <c r="AC160" s="73"/>
      <c r="AD160" s="73"/>
      <c r="AE160" s="73">
        <f t="shared" ref="AE160:AG160" si="805">M160+S160+Y160</f>
        <v>-25.8965</v>
      </c>
      <c r="AF160" s="73">
        <f t="shared" si="805"/>
        <v>0</v>
      </c>
      <c r="AG160" s="73">
        <f t="shared" si="805"/>
        <v>-25.8965</v>
      </c>
      <c r="AH160" s="73"/>
      <c r="AI160" s="73"/>
      <c r="AJ160" s="73"/>
      <c r="AK160" s="73">
        <v>0.0</v>
      </c>
      <c r="AL160" s="73">
        <v>0.0</v>
      </c>
      <c r="AM160" s="73">
        <v>0.0</v>
      </c>
      <c r="AN160" s="73"/>
      <c r="AO160" s="73"/>
      <c r="AP160" s="73"/>
      <c r="AQ160" s="73">
        <f t="shared" ref="AQ160:AS160" si="806">AE160+AK160</f>
        <v>-25.8965</v>
      </c>
      <c r="AR160" s="73">
        <f t="shared" si="806"/>
        <v>0</v>
      </c>
      <c r="AS160" s="73">
        <f t="shared" si="806"/>
        <v>-25.8965</v>
      </c>
      <c r="AT160" s="73"/>
      <c r="AU160" s="73"/>
      <c r="AV160" s="73"/>
      <c r="AW160" s="73">
        <v>-188.60501</v>
      </c>
      <c r="AX160" s="73">
        <v>0.0</v>
      </c>
      <c r="AY160" s="73">
        <v>-188.60501</v>
      </c>
      <c r="AZ160" s="73"/>
      <c r="BA160" s="73"/>
      <c r="BB160" s="73"/>
      <c r="BC160" s="73">
        <f t="shared" ref="BC160:BE160" si="807">AQ160+AW160</f>
        <v>-214.50151</v>
      </c>
      <c r="BD160" s="73">
        <f t="shared" si="807"/>
        <v>0</v>
      </c>
      <c r="BE160" s="73">
        <f t="shared" si="807"/>
        <v>-214.50151</v>
      </c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3"/>
      <c r="CO160" s="73"/>
      <c r="CP160" s="73"/>
      <c r="CQ160" s="73"/>
      <c r="CR160" s="73"/>
      <c r="CS160" s="73"/>
      <c r="CT160" s="73"/>
      <c r="CU160" s="73"/>
      <c r="CV160" s="73"/>
      <c r="CW160" s="73"/>
      <c r="CX160" s="73"/>
      <c r="CY160" s="73"/>
      <c r="CZ160" s="73"/>
      <c r="DA160" s="73"/>
      <c r="DB160" s="73"/>
      <c r="DC160" s="73"/>
      <c r="DD160" s="73"/>
      <c r="DE160" s="73"/>
      <c r="DF160" s="73"/>
      <c r="DG160" s="73"/>
      <c r="DH160" s="73"/>
      <c r="DI160" s="73"/>
      <c r="DJ160" s="73"/>
      <c r="DK160" s="73"/>
      <c r="DL160" s="73"/>
      <c r="DM160" s="73"/>
      <c r="DN160" s="73"/>
      <c r="DO160" s="73"/>
      <c r="DP160" s="73"/>
      <c r="DQ160" s="73"/>
      <c r="DR160" s="73"/>
      <c r="DS160" s="73"/>
      <c r="DT160" s="73"/>
      <c r="DU160" s="74"/>
      <c r="DV160" s="74"/>
      <c r="DW160" s="74"/>
      <c r="DX160" s="74"/>
      <c r="DY160" s="74"/>
      <c r="DZ160" s="74"/>
      <c r="EA160" s="82"/>
    </row>
    <row r="161" ht="21.75" customHeight="1">
      <c r="A161" s="64"/>
      <c r="B161" s="70"/>
      <c r="C161" s="71"/>
      <c r="D161" s="71"/>
      <c r="E161" s="71"/>
      <c r="F161" s="78" t="s">
        <v>51</v>
      </c>
      <c r="G161" s="73"/>
      <c r="H161" s="73"/>
      <c r="I161" s="73"/>
      <c r="J161" s="73"/>
      <c r="K161" s="73"/>
      <c r="L161" s="73"/>
      <c r="M161" s="79">
        <f t="shared" ref="M161:O161" si="808">M162+M163</f>
        <v>0</v>
      </c>
      <c r="N161" s="79">
        <f t="shared" si="808"/>
        <v>0</v>
      </c>
      <c r="O161" s="79">
        <f t="shared" si="808"/>
        <v>0</v>
      </c>
      <c r="P161" s="73"/>
      <c r="Q161" s="73"/>
      <c r="R161" s="73"/>
      <c r="S161" s="79">
        <f t="shared" ref="S161:U161" si="809">S162+S163</f>
        <v>4315.5374</v>
      </c>
      <c r="T161" s="79">
        <f t="shared" si="809"/>
        <v>0</v>
      </c>
      <c r="U161" s="79">
        <f t="shared" si="809"/>
        <v>4315.5374</v>
      </c>
      <c r="V161" s="73"/>
      <c r="W161" s="73"/>
      <c r="X161" s="73"/>
      <c r="Y161" s="79">
        <f t="shared" ref="Y161:AA161" si="810">Y162+Y163</f>
        <v>173</v>
      </c>
      <c r="Z161" s="79">
        <f t="shared" si="810"/>
        <v>0</v>
      </c>
      <c r="AA161" s="79">
        <f t="shared" si="810"/>
        <v>173</v>
      </c>
      <c r="AB161" s="73"/>
      <c r="AC161" s="73"/>
      <c r="AD161" s="73"/>
      <c r="AE161" s="79">
        <f t="shared" ref="AE161:AG161" si="811">M161+S161+Y161</f>
        <v>4488.5374</v>
      </c>
      <c r="AF161" s="79">
        <f t="shared" si="811"/>
        <v>0</v>
      </c>
      <c r="AG161" s="79">
        <f t="shared" si="811"/>
        <v>4488.5374</v>
      </c>
      <c r="AH161" s="73"/>
      <c r="AI161" s="73"/>
      <c r="AJ161" s="73"/>
      <c r="AK161" s="79">
        <f t="shared" ref="AK161:AM161" si="812">AK162+AK163</f>
        <v>8.65</v>
      </c>
      <c r="AL161" s="79">
        <f t="shared" si="812"/>
        <v>0</v>
      </c>
      <c r="AM161" s="79">
        <f t="shared" si="812"/>
        <v>8.65</v>
      </c>
      <c r="AN161" s="73"/>
      <c r="AO161" s="73"/>
      <c r="AP161" s="73"/>
      <c r="AQ161" s="79">
        <f t="shared" ref="AQ161:AS161" si="813">AE161+AK161</f>
        <v>4497.1874</v>
      </c>
      <c r="AR161" s="79">
        <f t="shared" si="813"/>
        <v>0</v>
      </c>
      <c r="AS161" s="79">
        <f t="shared" si="813"/>
        <v>4497.1874</v>
      </c>
      <c r="AT161" s="73"/>
      <c r="AU161" s="73"/>
      <c r="AV161" s="73"/>
      <c r="AW161" s="79">
        <v>0.0</v>
      </c>
      <c r="AX161" s="79">
        <v>0.0</v>
      </c>
      <c r="AY161" s="79">
        <v>0.0</v>
      </c>
      <c r="AZ161" s="73"/>
      <c r="BA161" s="73"/>
      <c r="BB161" s="73"/>
      <c r="BC161" s="79">
        <f t="shared" ref="BC161:BE161" si="814">AQ161+AW161</f>
        <v>4497.1874</v>
      </c>
      <c r="BD161" s="79">
        <f t="shared" si="814"/>
        <v>0</v>
      </c>
      <c r="BE161" s="79">
        <f t="shared" si="814"/>
        <v>4497.1874</v>
      </c>
      <c r="BF161" s="73">
        <f t="shared" ref="BF161:DY161" si="815">BF163+BF164+BF165</f>
        <v>0</v>
      </c>
      <c r="BG161" s="73">
        <f t="shared" si="815"/>
        <v>0</v>
      </c>
      <c r="BH161" s="73">
        <f t="shared" si="815"/>
        <v>0</v>
      </c>
      <c r="BI161" s="73">
        <f t="shared" si="815"/>
        <v>0</v>
      </c>
      <c r="BJ161" s="73">
        <f t="shared" si="815"/>
        <v>0</v>
      </c>
      <c r="BK161" s="73">
        <f t="shared" si="815"/>
        <v>0</v>
      </c>
      <c r="BL161" s="73">
        <f t="shared" si="815"/>
        <v>0</v>
      </c>
      <c r="BM161" s="73">
        <f t="shared" si="815"/>
        <v>0</v>
      </c>
      <c r="BN161" s="73">
        <f t="shared" si="815"/>
        <v>0</v>
      </c>
      <c r="BO161" s="73">
        <f t="shared" si="815"/>
        <v>0</v>
      </c>
      <c r="BP161" s="73">
        <f t="shared" si="815"/>
        <v>0</v>
      </c>
      <c r="BQ161" s="73">
        <f t="shared" si="815"/>
        <v>0</v>
      </c>
      <c r="BR161" s="73">
        <f t="shared" si="815"/>
        <v>0</v>
      </c>
      <c r="BS161" s="73">
        <f t="shared" si="815"/>
        <v>0</v>
      </c>
      <c r="BT161" s="73">
        <f t="shared" si="815"/>
        <v>0</v>
      </c>
      <c r="BU161" s="73">
        <f t="shared" si="815"/>
        <v>0</v>
      </c>
      <c r="BV161" s="73">
        <f t="shared" si="815"/>
        <v>0</v>
      </c>
      <c r="BW161" s="73">
        <f t="shared" si="815"/>
        <v>0</v>
      </c>
      <c r="BX161" s="73">
        <f t="shared" si="815"/>
        <v>0</v>
      </c>
      <c r="BY161" s="73">
        <f t="shared" si="815"/>
        <v>0</v>
      </c>
      <c r="BZ161" s="73">
        <f t="shared" si="815"/>
        <v>0</v>
      </c>
      <c r="CA161" s="73">
        <f t="shared" si="815"/>
        <v>0</v>
      </c>
      <c r="CB161" s="73">
        <f t="shared" si="815"/>
        <v>0</v>
      </c>
      <c r="CC161" s="73">
        <f t="shared" si="815"/>
        <v>0</v>
      </c>
      <c r="CD161" s="73">
        <f t="shared" si="815"/>
        <v>0</v>
      </c>
      <c r="CE161" s="73">
        <f t="shared" si="815"/>
        <v>0</v>
      </c>
      <c r="CF161" s="73">
        <f t="shared" si="815"/>
        <v>0</v>
      </c>
      <c r="CG161" s="73">
        <f t="shared" si="815"/>
        <v>0</v>
      </c>
      <c r="CH161" s="73">
        <f t="shared" si="815"/>
        <v>0</v>
      </c>
      <c r="CI161" s="73">
        <f t="shared" si="815"/>
        <v>0</v>
      </c>
      <c r="CJ161" s="73">
        <f t="shared" si="815"/>
        <v>0</v>
      </c>
      <c r="CK161" s="73">
        <f t="shared" si="815"/>
        <v>0</v>
      </c>
      <c r="CL161" s="73">
        <f t="shared" si="815"/>
        <v>0</v>
      </c>
      <c r="CM161" s="73">
        <f t="shared" si="815"/>
        <v>0</v>
      </c>
      <c r="CN161" s="73">
        <f t="shared" si="815"/>
        <v>0</v>
      </c>
      <c r="CO161" s="73">
        <f t="shared" si="815"/>
        <v>0</v>
      </c>
      <c r="CP161" s="73">
        <f t="shared" si="815"/>
        <v>0</v>
      </c>
      <c r="CQ161" s="73">
        <f t="shared" si="815"/>
        <v>0</v>
      </c>
      <c r="CR161" s="73">
        <f t="shared" si="815"/>
        <v>0</v>
      </c>
      <c r="CS161" s="73">
        <f t="shared" si="815"/>
        <v>0</v>
      </c>
      <c r="CT161" s="73">
        <f t="shared" si="815"/>
        <v>0</v>
      </c>
      <c r="CU161" s="73">
        <f t="shared" si="815"/>
        <v>0</v>
      </c>
      <c r="CV161" s="73">
        <f t="shared" si="815"/>
        <v>0</v>
      </c>
      <c r="CW161" s="73">
        <f t="shared" si="815"/>
        <v>0</v>
      </c>
      <c r="CX161" s="73">
        <f t="shared" si="815"/>
        <v>0</v>
      </c>
      <c r="CY161" s="73">
        <f t="shared" si="815"/>
        <v>0</v>
      </c>
      <c r="CZ161" s="73">
        <f t="shared" si="815"/>
        <v>0</v>
      </c>
      <c r="DA161" s="73">
        <f t="shared" si="815"/>
        <v>0</v>
      </c>
      <c r="DB161" s="73">
        <f t="shared" si="815"/>
        <v>0</v>
      </c>
      <c r="DC161" s="73">
        <f t="shared" si="815"/>
        <v>0</v>
      </c>
      <c r="DD161" s="73">
        <f t="shared" si="815"/>
        <v>0</v>
      </c>
      <c r="DE161" s="73">
        <f t="shared" si="815"/>
        <v>0</v>
      </c>
      <c r="DF161" s="73">
        <f t="shared" si="815"/>
        <v>0</v>
      </c>
      <c r="DG161" s="73">
        <f t="shared" si="815"/>
        <v>0</v>
      </c>
      <c r="DH161" s="73">
        <f t="shared" si="815"/>
        <v>0</v>
      </c>
      <c r="DI161" s="73">
        <f t="shared" si="815"/>
        <v>0</v>
      </c>
      <c r="DJ161" s="73">
        <f t="shared" si="815"/>
        <v>0</v>
      </c>
      <c r="DK161" s="73">
        <f t="shared" si="815"/>
        <v>0</v>
      </c>
      <c r="DL161" s="73">
        <f t="shared" si="815"/>
        <v>0</v>
      </c>
      <c r="DM161" s="73">
        <f t="shared" si="815"/>
        <v>0</v>
      </c>
      <c r="DN161" s="73">
        <f t="shared" si="815"/>
        <v>0</v>
      </c>
      <c r="DO161" s="73">
        <f t="shared" si="815"/>
        <v>0</v>
      </c>
      <c r="DP161" s="73">
        <f t="shared" si="815"/>
        <v>0</v>
      </c>
      <c r="DQ161" s="73">
        <f t="shared" si="815"/>
        <v>0</v>
      </c>
      <c r="DR161" s="73">
        <f t="shared" si="815"/>
        <v>0</v>
      </c>
      <c r="DS161" s="73">
        <f t="shared" si="815"/>
        <v>0</v>
      </c>
      <c r="DT161" s="73">
        <f t="shared" si="815"/>
        <v>0</v>
      </c>
      <c r="DU161" s="73">
        <f t="shared" si="815"/>
        <v>0</v>
      </c>
      <c r="DV161" s="73">
        <f t="shared" si="815"/>
        <v>0</v>
      </c>
      <c r="DW161" s="73">
        <f t="shared" si="815"/>
        <v>0</v>
      </c>
      <c r="DX161" s="73">
        <f t="shared" si="815"/>
        <v>0</v>
      </c>
      <c r="DY161" s="73">
        <f t="shared" si="815"/>
        <v>0</v>
      </c>
      <c r="DZ161" s="73" t="s">
        <v>134</v>
      </c>
      <c r="EA161" s="76"/>
    </row>
    <row r="162" ht="21.75" customHeight="1">
      <c r="A162" s="64"/>
      <c r="B162" s="70"/>
      <c r="C162" s="71"/>
      <c r="D162" s="71"/>
      <c r="E162" s="71"/>
      <c r="F162" s="81" t="s">
        <v>47</v>
      </c>
      <c r="G162" s="73"/>
      <c r="H162" s="73"/>
      <c r="I162" s="73"/>
      <c r="J162" s="73"/>
      <c r="K162" s="73"/>
      <c r="L162" s="73"/>
      <c r="M162" s="73">
        <v>0.0</v>
      </c>
      <c r="N162" s="73">
        <v>0.0</v>
      </c>
      <c r="O162" s="73">
        <v>0.0</v>
      </c>
      <c r="P162" s="73"/>
      <c r="Q162" s="73"/>
      <c r="R162" s="73"/>
      <c r="S162" s="73">
        <v>3728.0544</v>
      </c>
      <c r="T162" s="73">
        <v>0.0</v>
      </c>
      <c r="U162" s="73">
        <v>3728.0544</v>
      </c>
      <c r="V162" s="73"/>
      <c r="W162" s="73"/>
      <c r="X162" s="73"/>
      <c r="Y162" s="73">
        <f>Z162+AA162</f>
        <v>173</v>
      </c>
      <c r="Z162" s="73">
        <v>0.0</v>
      </c>
      <c r="AA162" s="73">
        <v>173.0</v>
      </c>
      <c r="AB162" s="73"/>
      <c r="AC162" s="73"/>
      <c r="AD162" s="73"/>
      <c r="AE162" s="73">
        <f t="shared" ref="AE162:AG162" si="816">M162+S162+Y162</f>
        <v>3901.0544</v>
      </c>
      <c r="AF162" s="73">
        <f t="shared" si="816"/>
        <v>0</v>
      </c>
      <c r="AG162" s="73">
        <f t="shared" si="816"/>
        <v>3901.0544</v>
      </c>
      <c r="AH162" s="73"/>
      <c r="AI162" s="73"/>
      <c r="AJ162" s="73"/>
      <c r="AK162" s="73">
        <f>AL162+AM162</f>
        <v>8.65</v>
      </c>
      <c r="AL162" s="73">
        <v>0.0</v>
      </c>
      <c r="AM162" s="73">
        <v>8.65</v>
      </c>
      <c r="AN162" s="73"/>
      <c r="AO162" s="73"/>
      <c r="AP162" s="73"/>
      <c r="AQ162" s="73">
        <f t="shared" ref="AQ162:AS162" si="817">AE162+AK162</f>
        <v>3909.7044</v>
      </c>
      <c r="AR162" s="73">
        <f t="shared" si="817"/>
        <v>0</v>
      </c>
      <c r="AS162" s="73">
        <f t="shared" si="817"/>
        <v>3909.7044</v>
      </c>
      <c r="AT162" s="73"/>
      <c r="AU162" s="73"/>
      <c r="AV162" s="73"/>
      <c r="AW162" s="73">
        <v>0.0</v>
      </c>
      <c r="AX162" s="73">
        <v>0.0</v>
      </c>
      <c r="AY162" s="73">
        <v>0.0</v>
      </c>
      <c r="AZ162" s="73"/>
      <c r="BA162" s="73"/>
      <c r="BB162" s="73"/>
      <c r="BC162" s="73">
        <f t="shared" ref="BC162:BE162" si="818">AQ162+AW162</f>
        <v>3909.7044</v>
      </c>
      <c r="BD162" s="73">
        <f t="shared" si="818"/>
        <v>0</v>
      </c>
      <c r="BE162" s="73">
        <f t="shared" si="818"/>
        <v>3909.7044</v>
      </c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3"/>
      <c r="CO162" s="73"/>
      <c r="CP162" s="73"/>
      <c r="CQ162" s="73"/>
      <c r="CR162" s="73"/>
      <c r="CS162" s="73"/>
      <c r="CT162" s="73"/>
      <c r="CU162" s="73"/>
      <c r="CV162" s="73"/>
      <c r="CW162" s="73"/>
      <c r="CX162" s="73"/>
      <c r="CY162" s="73"/>
      <c r="CZ162" s="73"/>
      <c r="DA162" s="73"/>
      <c r="DB162" s="73"/>
      <c r="DC162" s="73"/>
      <c r="DD162" s="73"/>
      <c r="DE162" s="73"/>
      <c r="DF162" s="73"/>
      <c r="DG162" s="73"/>
      <c r="DH162" s="73"/>
      <c r="DI162" s="73"/>
      <c r="DJ162" s="73"/>
      <c r="DK162" s="73"/>
      <c r="DL162" s="73"/>
      <c r="DM162" s="73"/>
      <c r="DN162" s="73"/>
      <c r="DO162" s="73"/>
      <c r="DP162" s="73"/>
      <c r="DQ162" s="73"/>
      <c r="DR162" s="73"/>
      <c r="DS162" s="73"/>
      <c r="DT162" s="73"/>
      <c r="DU162" s="73"/>
      <c r="DV162" s="73"/>
      <c r="DW162" s="73"/>
      <c r="DX162" s="73"/>
      <c r="DY162" s="73"/>
      <c r="DZ162" s="73"/>
      <c r="EA162" s="76"/>
    </row>
    <row r="163" ht="21.75" customHeight="1">
      <c r="A163" s="64"/>
      <c r="B163" s="70"/>
      <c r="C163" s="71"/>
      <c r="D163" s="71"/>
      <c r="E163" s="71"/>
      <c r="F163" s="81" t="s">
        <v>52</v>
      </c>
      <c r="G163" s="73"/>
      <c r="H163" s="73"/>
      <c r="I163" s="73"/>
      <c r="J163" s="73"/>
      <c r="K163" s="73"/>
      <c r="L163" s="73"/>
      <c r="M163" s="73">
        <v>0.0</v>
      </c>
      <c r="N163" s="73">
        <v>0.0</v>
      </c>
      <c r="O163" s="73">
        <v>0.0</v>
      </c>
      <c r="P163" s="73"/>
      <c r="Q163" s="73"/>
      <c r="R163" s="73"/>
      <c r="S163" s="73">
        <v>587.483</v>
      </c>
      <c r="T163" s="73">
        <v>0.0</v>
      </c>
      <c r="U163" s="73">
        <v>587.483</v>
      </c>
      <c r="V163" s="73"/>
      <c r="W163" s="73"/>
      <c r="X163" s="73"/>
      <c r="Y163" s="73">
        <v>0.0</v>
      </c>
      <c r="Z163" s="73">
        <v>0.0</v>
      </c>
      <c r="AA163" s="73">
        <v>0.0</v>
      </c>
      <c r="AB163" s="73"/>
      <c r="AC163" s="73"/>
      <c r="AD163" s="73"/>
      <c r="AE163" s="73">
        <f t="shared" ref="AE163:AG163" si="819">M163+S163+Y163</f>
        <v>587.483</v>
      </c>
      <c r="AF163" s="73">
        <f t="shared" si="819"/>
        <v>0</v>
      </c>
      <c r="AG163" s="73">
        <f t="shared" si="819"/>
        <v>587.483</v>
      </c>
      <c r="AH163" s="73"/>
      <c r="AI163" s="73"/>
      <c r="AJ163" s="73"/>
      <c r="AK163" s="73">
        <v>0.0</v>
      </c>
      <c r="AL163" s="73">
        <v>0.0</v>
      </c>
      <c r="AM163" s="73">
        <v>0.0</v>
      </c>
      <c r="AN163" s="73"/>
      <c r="AO163" s="73"/>
      <c r="AP163" s="73"/>
      <c r="AQ163" s="73">
        <f t="shared" ref="AQ163:AS163" si="820">AE163+AK163</f>
        <v>587.483</v>
      </c>
      <c r="AR163" s="73">
        <f t="shared" si="820"/>
        <v>0</v>
      </c>
      <c r="AS163" s="73">
        <f t="shared" si="820"/>
        <v>587.483</v>
      </c>
      <c r="AT163" s="73"/>
      <c r="AU163" s="73"/>
      <c r="AV163" s="73"/>
      <c r="AW163" s="73">
        <v>0.0</v>
      </c>
      <c r="AX163" s="73">
        <v>0.0</v>
      </c>
      <c r="AY163" s="73">
        <v>0.0</v>
      </c>
      <c r="AZ163" s="73"/>
      <c r="BA163" s="73"/>
      <c r="BB163" s="73"/>
      <c r="BC163" s="73">
        <f t="shared" ref="BC163:BE163" si="821">AQ163+AW163</f>
        <v>587.483</v>
      </c>
      <c r="BD163" s="73">
        <f t="shared" si="821"/>
        <v>0</v>
      </c>
      <c r="BE163" s="73">
        <f t="shared" si="821"/>
        <v>587.483</v>
      </c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3"/>
      <c r="CO163" s="73"/>
      <c r="CP163" s="73"/>
      <c r="CQ163" s="73"/>
      <c r="CR163" s="73"/>
      <c r="CS163" s="73"/>
      <c r="CT163" s="73"/>
      <c r="CU163" s="73"/>
      <c r="CV163" s="73"/>
      <c r="CW163" s="73"/>
      <c r="CX163" s="73"/>
      <c r="CY163" s="73"/>
      <c r="CZ163" s="73"/>
      <c r="DA163" s="73"/>
      <c r="DB163" s="73"/>
      <c r="DC163" s="73"/>
      <c r="DD163" s="73"/>
      <c r="DE163" s="73"/>
      <c r="DF163" s="73"/>
      <c r="DG163" s="73"/>
      <c r="DH163" s="73"/>
      <c r="DI163" s="73"/>
      <c r="DJ163" s="73"/>
      <c r="DK163" s="73"/>
      <c r="DL163" s="73"/>
      <c r="DM163" s="73"/>
      <c r="DN163" s="73"/>
      <c r="DO163" s="73"/>
      <c r="DP163" s="73"/>
      <c r="DQ163" s="73"/>
      <c r="DR163" s="73"/>
      <c r="DS163" s="73"/>
      <c r="DT163" s="73"/>
      <c r="DU163" s="74"/>
      <c r="DV163" s="74"/>
      <c r="DW163" s="72"/>
      <c r="DX163" s="72"/>
      <c r="DY163" s="72"/>
      <c r="DZ163" s="96"/>
      <c r="EA163" s="76"/>
    </row>
    <row r="164" ht="21.75" customHeight="1">
      <c r="A164" s="64"/>
      <c r="B164" s="92"/>
      <c r="C164" s="72"/>
      <c r="D164" s="71"/>
      <c r="E164" s="71"/>
      <c r="F164" s="78" t="s">
        <v>53</v>
      </c>
      <c r="G164" s="73"/>
      <c r="H164" s="73"/>
      <c r="I164" s="73"/>
      <c r="J164" s="73"/>
      <c r="K164" s="73"/>
      <c r="L164" s="73"/>
      <c r="M164" s="79">
        <f t="shared" ref="M164:O164" si="822">N164+O164</f>
        <v>0</v>
      </c>
      <c r="N164" s="79">
        <f t="shared" si="822"/>
        <v>0</v>
      </c>
      <c r="O164" s="79">
        <f t="shared" si="822"/>
        <v>0</v>
      </c>
      <c r="P164" s="79"/>
      <c r="Q164" s="79"/>
      <c r="R164" s="79"/>
      <c r="S164" s="79">
        <f t="shared" ref="S164:S165" si="827">T164+U164</f>
        <v>121807.4271</v>
      </c>
      <c r="T164" s="79">
        <v>0.0</v>
      </c>
      <c r="U164" s="79">
        <v>121807.42707</v>
      </c>
      <c r="V164" s="79"/>
      <c r="W164" s="79"/>
      <c r="X164" s="79"/>
      <c r="Y164" s="79">
        <f t="shared" ref="Y164:Y165" si="828">Z164+AA164</f>
        <v>0</v>
      </c>
      <c r="Z164" s="79">
        <v>0.0</v>
      </c>
      <c r="AA164" s="79">
        <v>0.0</v>
      </c>
      <c r="AB164" s="79"/>
      <c r="AC164" s="79"/>
      <c r="AD164" s="79"/>
      <c r="AE164" s="79">
        <f t="shared" ref="AE164:AG164" si="823">M164+S164+Y164</f>
        <v>121807.4271</v>
      </c>
      <c r="AF164" s="79">
        <f t="shared" si="823"/>
        <v>0</v>
      </c>
      <c r="AG164" s="79">
        <f t="shared" si="823"/>
        <v>121807.4271</v>
      </c>
      <c r="AH164" s="73"/>
      <c r="AI164" s="73"/>
      <c r="AJ164" s="73"/>
      <c r="AK164" s="79">
        <f t="shared" ref="AK164:AK165" si="830">AL164+AM164</f>
        <v>37653.35931</v>
      </c>
      <c r="AL164" s="79">
        <v>0.0</v>
      </c>
      <c r="AM164" s="79">
        <v>37653.35931</v>
      </c>
      <c r="AN164" s="73"/>
      <c r="AO164" s="73"/>
      <c r="AP164" s="73"/>
      <c r="AQ164" s="79">
        <f t="shared" ref="AQ164:AS164" si="824">AE164+AK164</f>
        <v>159460.7864</v>
      </c>
      <c r="AR164" s="79">
        <f t="shared" si="824"/>
        <v>0</v>
      </c>
      <c r="AS164" s="79">
        <f t="shared" si="824"/>
        <v>159460.7864</v>
      </c>
      <c r="AT164" s="73"/>
      <c r="AU164" s="73"/>
      <c r="AV164" s="73"/>
      <c r="AW164" s="79">
        <v>0.0</v>
      </c>
      <c r="AX164" s="79">
        <v>0.0</v>
      </c>
      <c r="AY164" s="79">
        <v>0.0</v>
      </c>
      <c r="AZ164" s="73"/>
      <c r="BA164" s="73"/>
      <c r="BB164" s="73"/>
      <c r="BC164" s="79">
        <f t="shared" ref="BC164:BE164" si="825">AQ164+AW164</f>
        <v>159460.7864</v>
      </c>
      <c r="BD164" s="79">
        <f t="shared" si="825"/>
        <v>0</v>
      </c>
      <c r="BE164" s="79">
        <f t="shared" si="825"/>
        <v>159460.7864</v>
      </c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3"/>
      <c r="CO164" s="73"/>
      <c r="CP164" s="73"/>
      <c r="CQ164" s="73"/>
      <c r="CR164" s="73"/>
      <c r="CS164" s="73"/>
      <c r="CT164" s="73"/>
      <c r="CU164" s="73"/>
      <c r="CV164" s="73"/>
      <c r="CW164" s="73"/>
      <c r="CX164" s="73"/>
      <c r="CY164" s="73"/>
      <c r="CZ164" s="73"/>
      <c r="DA164" s="73"/>
      <c r="DB164" s="73"/>
      <c r="DC164" s="73"/>
      <c r="DD164" s="73"/>
      <c r="DE164" s="73"/>
      <c r="DF164" s="73"/>
      <c r="DG164" s="73"/>
      <c r="DH164" s="73"/>
      <c r="DI164" s="73"/>
      <c r="DJ164" s="73"/>
      <c r="DK164" s="73"/>
      <c r="DL164" s="73"/>
      <c r="DM164" s="73"/>
      <c r="DN164" s="73"/>
      <c r="DO164" s="73"/>
      <c r="DP164" s="73"/>
      <c r="DQ164" s="73"/>
      <c r="DR164" s="73"/>
      <c r="DS164" s="73"/>
      <c r="DT164" s="73"/>
      <c r="DU164" s="74"/>
      <c r="DV164" s="74"/>
      <c r="DW164" s="72"/>
      <c r="DX164" s="72"/>
      <c r="DY164" s="72"/>
      <c r="DZ164" s="75"/>
      <c r="EA164" s="76" t="s">
        <v>135</v>
      </c>
    </row>
    <row r="165" ht="21.75" customHeight="1">
      <c r="A165" s="64"/>
      <c r="B165" s="92"/>
      <c r="C165" s="72"/>
      <c r="D165" s="71"/>
      <c r="E165" s="71"/>
      <c r="F165" s="78" t="s">
        <v>55</v>
      </c>
      <c r="G165" s="73"/>
      <c r="H165" s="73"/>
      <c r="I165" s="73"/>
      <c r="J165" s="73"/>
      <c r="K165" s="73"/>
      <c r="L165" s="73"/>
      <c r="M165" s="79">
        <f t="shared" ref="M165:O165" si="826">N165+O165</f>
        <v>0</v>
      </c>
      <c r="N165" s="79">
        <f t="shared" si="826"/>
        <v>0</v>
      </c>
      <c r="O165" s="79">
        <f t="shared" si="826"/>
        <v>0</v>
      </c>
      <c r="P165" s="79"/>
      <c r="Q165" s="79"/>
      <c r="R165" s="79"/>
      <c r="S165" s="79">
        <f t="shared" si="827"/>
        <v>0</v>
      </c>
      <c r="T165" s="79">
        <v>0.0</v>
      </c>
      <c r="U165" s="79">
        <v>0.0</v>
      </c>
      <c r="V165" s="79"/>
      <c r="W165" s="79"/>
      <c r="X165" s="79"/>
      <c r="Y165" s="79">
        <f t="shared" si="828"/>
        <v>0</v>
      </c>
      <c r="Z165" s="79">
        <v>0.0</v>
      </c>
      <c r="AA165" s="79">
        <v>0.0</v>
      </c>
      <c r="AB165" s="79"/>
      <c r="AC165" s="79"/>
      <c r="AD165" s="79"/>
      <c r="AE165" s="79">
        <f t="shared" ref="AE165:AG165" si="829">M165+S165+Y165</f>
        <v>0</v>
      </c>
      <c r="AF165" s="79">
        <f t="shared" si="829"/>
        <v>0</v>
      </c>
      <c r="AG165" s="79">
        <f t="shared" si="829"/>
        <v>0</v>
      </c>
      <c r="AH165" s="73"/>
      <c r="AI165" s="73"/>
      <c r="AJ165" s="73"/>
      <c r="AK165" s="79">
        <f t="shared" si="830"/>
        <v>0</v>
      </c>
      <c r="AL165" s="79">
        <v>0.0</v>
      </c>
      <c r="AM165" s="79">
        <v>0.0</v>
      </c>
      <c r="AN165" s="73"/>
      <c r="AO165" s="73"/>
      <c r="AP165" s="73"/>
      <c r="AQ165" s="79">
        <f t="shared" ref="AQ165:AS165" si="831">AE165+AK165</f>
        <v>0</v>
      </c>
      <c r="AR165" s="79">
        <f t="shared" si="831"/>
        <v>0</v>
      </c>
      <c r="AS165" s="79">
        <f t="shared" si="831"/>
        <v>0</v>
      </c>
      <c r="AT165" s="73"/>
      <c r="AU165" s="73"/>
      <c r="AV165" s="73"/>
      <c r="AW165" s="79">
        <v>970.17646</v>
      </c>
      <c r="AX165" s="79">
        <v>0.0</v>
      </c>
      <c r="AY165" s="79">
        <v>970.17646</v>
      </c>
      <c r="AZ165" s="73"/>
      <c r="BA165" s="73"/>
      <c r="BB165" s="73"/>
      <c r="BC165" s="79">
        <f t="shared" ref="BC165:BE165" si="832">AQ165+AW165</f>
        <v>970.17646</v>
      </c>
      <c r="BD165" s="79">
        <f t="shared" si="832"/>
        <v>0</v>
      </c>
      <c r="BE165" s="79">
        <f t="shared" si="832"/>
        <v>970.17646</v>
      </c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3"/>
      <c r="CO165" s="73"/>
      <c r="CP165" s="73"/>
      <c r="CQ165" s="73"/>
      <c r="CR165" s="73"/>
      <c r="CS165" s="73"/>
      <c r="CT165" s="73"/>
      <c r="CU165" s="73"/>
      <c r="CV165" s="73"/>
      <c r="CW165" s="73"/>
      <c r="CX165" s="73"/>
      <c r="CY165" s="73"/>
      <c r="CZ165" s="73"/>
      <c r="DA165" s="73"/>
      <c r="DB165" s="73"/>
      <c r="DC165" s="73"/>
      <c r="DD165" s="73"/>
      <c r="DE165" s="73"/>
      <c r="DF165" s="73"/>
      <c r="DG165" s="73"/>
      <c r="DH165" s="73"/>
      <c r="DI165" s="73"/>
      <c r="DJ165" s="73"/>
      <c r="DK165" s="73"/>
      <c r="DL165" s="73"/>
      <c r="DM165" s="73"/>
      <c r="DN165" s="73"/>
      <c r="DO165" s="73"/>
      <c r="DP165" s="73"/>
      <c r="DQ165" s="73"/>
      <c r="DR165" s="73"/>
      <c r="DS165" s="73"/>
      <c r="DT165" s="73"/>
      <c r="DU165" s="74"/>
      <c r="DV165" s="74"/>
      <c r="DW165" s="72"/>
      <c r="DX165" s="72"/>
      <c r="DY165" s="72"/>
      <c r="DZ165" s="75"/>
      <c r="EA165" s="76" t="s">
        <v>136</v>
      </c>
    </row>
    <row r="166" ht="21.75" customHeight="1">
      <c r="A166" s="64"/>
      <c r="B166" s="70" t="s">
        <v>40</v>
      </c>
      <c r="C166" s="71" t="s">
        <v>137</v>
      </c>
      <c r="D166" s="71" t="s">
        <v>41</v>
      </c>
      <c r="E166" s="71" t="s">
        <v>83</v>
      </c>
      <c r="F166" s="72" t="s">
        <v>138</v>
      </c>
      <c r="G166" s="73">
        <v>219379.0</v>
      </c>
      <c r="H166" s="73">
        <v>0.0</v>
      </c>
      <c r="I166" s="73">
        <v>219379.0</v>
      </c>
      <c r="J166" s="73">
        <f t="shared" ref="J166:L166" si="833">J167+J169+J172</f>
        <v>0</v>
      </c>
      <c r="K166" s="73">
        <f t="shared" si="833"/>
        <v>0</v>
      </c>
      <c r="L166" s="73">
        <f t="shared" si="833"/>
        <v>0</v>
      </c>
      <c r="M166" s="73">
        <f t="shared" ref="M166:O166" si="834">M167+M169+M172+M175+M176</f>
        <v>5336.28595</v>
      </c>
      <c r="N166" s="73">
        <f t="shared" si="834"/>
        <v>0</v>
      </c>
      <c r="O166" s="73">
        <f t="shared" si="834"/>
        <v>5336.28595</v>
      </c>
      <c r="P166" s="73">
        <f t="shared" ref="P166:R166" si="835">P167+P169+P172</f>
        <v>0</v>
      </c>
      <c r="Q166" s="73">
        <f t="shared" si="835"/>
        <v>0</v>
      </c>
      <c r="R166" s="73">
        <f t="shared" si="835"/>
        <v>0</v>
      </c>
      <c r="S166" s="73">
        <f t="shared" ref="S166:U166" si="836">S167+S169+S172+S175+S176</f>
        <v>5239</v>
      </c>
      <c r="T166" s="73">
        <f t="shared" si="836"/>
        <v>0</v>
      </c>
      <c r="U166" s="73">
        <f t="shared" si="836"/>
        <v>5239</v>
      </c>
      <c r="V166" s="73">
        <v>279.0</v>
      </c>
      <c r="W166" s="73">
        <f>W167+W169+W172</f>
        <v>0</v>
      </c>
      <c r="X166" s="73">
        <v>279.0</v>
      </c>
      <c r="Y166" s="73">
        <f t="shared" ref="Y166:AA166" si="837">Y167+Y169+Y172+Y175+Y176</f>
        <v>91286.78421</v>
      </c>
      <c r="Z166" s="73">
        <f t="shared" si="837"/>
        <v>0</v>
      </c>
      <c r="AA166" s="73">
        <f t="shared" si="837"/>
        <v>91286.78421</v>
      </c>
      <c r="AB166" s="73">
        <f t="shared" ref="AB166:AG166" si="838">J166+P166+V166</f>
        <v>279</v>
      </c>
      <c r="AC166" s="73">
        <f t="shared" si="838"/>
        <v>0</v>
      </c>
      <c r="AD166" s="73">
        <f t="shared" si="838"/>
        <v>279</v>
      </c>
      <c r="AE166" s="73">
        <f t="shared" si="838"/>
        <v>101862.0702</v>
      </c>
      <c r="AF166" s="73">
        <f t="shared" si="838"/>
        <v>0</v>
      </c>
      <c r="AG166" s="73">
        <f t="shared" si="838"/>
        <v>101862.0702</v>
      </c>
      <c r="AH166" s="73">
        <v>945.0</v>
      </c>
      <c r="AI166" s="73">
        <v>0.0</v>
      </c>
      <c r="AJ166" s="73">
        <v>945.0</v>
      </c>
      <c r="AK166" s="73">
        <f t="shared" ref="AK166:AM166" si="839">AK167+AK169+AK172+AK175+AK176</f>
        <v>4914.82508</v>
      </c>
      <c r="AL166" s="73">
        <f t="shared" si="839"/>
        <v>0</v>
      </c>
      <c r="AM166" s="73">
        <f t="shared" si="839"/>
        <v>4914.82508</v>
      </c>
      <c r="AN166" s="73">
        <f t="shared" ref="AN166:AS166" si="840">AB166+AH166</f>
        <v>1224</v>
      </c>
      <c r="AO166" s="73">
        <f t="shared" si="840"/>
        <v>0</v>
      </c>
      <c r="AP166" s="73">
        <f t="shared" si="840"/>
        <v>1224</v>
      </c>
      <c r="AQ166" s="73">
        <f t="shared" si="840"/>
        <v>106776.8952</v>
      </c>
      <c r="AR166" s="73">
        <f t="shared" si="840"/>
        <v>0</v>
      </c>
      <c r="AS166" s="73">
        <f t="shared" si="840"/>
        <v>106776.8952</v>
      </c>
      <c r="AT166" s="73">
        <v>1418.0</v>
      </c>
      <c r="AU166" s="73">
        <f>AU167+AU169+AU172</f>
        <v>0</v>
      </c>
      <c r="AV166" s="73">
        <v>1418.0</v>
      </c>
      <c r="AW166" s="73">
        <f t="shared" ref="AW166:AY166" si="841">AW167+AW169+AW172+AW175+AW176</f>
        <v>6569.01187</v>
      </c>
      <c r="AX166" s="73">
        <f t="shared" si="841"/>
        <v>0</v>
      </c>
      <c r="AY166" s="73">
        <f t="shared" si="841"/>
        <v>6569.01187</v>
      </c>
      <c r="AZ166" s="73">
        <f t="shared" ref="AZ166:BE166" si="842">AN166+AT166</f>
        <v>2642</v>
      </c>
      <c r="BA166" s="73">
        <f t="shared" si="842"/>
        <v>0</v>
      </c>
      <c r="BB166" s="73">
        <f t="shared" si="842"/>
        <v>2642</v>
      </c>
      <c r="BC166" s="73">
        <f t="shared" si="842"/>
        <v>113345.9071</v>
      </c>
      <c r="BD166" s="73">
        <f t="shared" si="842"/>
        <v>0</v>
      </c>
      <c r="BE166" s="73">
        <f t="shared" si="842"/>
        <v>113345.9071</v>
      </c>
      <c r="BF166" s="73">
        <f t="shared" ref="BF166:DY166" si="843">BF167+BF169+BF172</f>
        <v>0</v>
      </c>
      <c r="BG166" s="73">
        <f t="shared" si="843"/>
        <v>0</v>
      </c>
      <c r="BH166" s="73">
        <f t="shared" si="843"/>
        <v>0</v>
      </c>
      <c r="BI166" s="73">
        <f t="shared" si="843"/>
        <v>0</v>
      </c>
      <c r="BJ166" s="73">
        <f t="shared" si="843"/>
        <v>0</v>
      </c>
      <c r="BK166" s="73">
        <f t="shared" si="843"/>
        <v>0</v>
      </c>
      <c r="BL166" s="73">
        <f t="shared" si="843"/>
        <v>0</v>
      </c>
      <c r="BM166" s="73">
        <f t="shared" si="843"/>
        <v>0</v>
      </c>
      <c r="BN166" s="73">
        <f t="shared" si="843"/>
        <v>0</v>
      </c>
      <c r="BO166" s="73">
        <f t="shared" si="843"/>
        <v>0</v>
      </c>
      <c r="BP166" s="73">
        <f t="shared" si="843"/>
        <v>0</v>
      </c>
      <c r="BQ166" s="73">
        <f t="shared" si="843"/>
        <v>0</v>
      </c>
      <c r="BR166" s="73">
        <f t="shared" si="843"/>
        <v>0</v>
      </c>
      <c r="BS166" s="73">
        <f t="shared" si="843"/>
        <v>0</v>
      </c>
      <c r="BT166" s="73">
        <f t="shared" si="843"/>
        <v>0</v>
      </c>
      <c r="BU166" s="73">
        <f t="shared" si="843"/>
        <v>0</v>
      </c>
      <c r="BV166" s="73">
        <f t="shared" si="843"/>
        <v>0</v>
      </c>
      <c r="BW166" s="73">
        <f t="shared" si="843"/>
        <v>0</v>
      </c>
      <c r="BX166" s="73">
        <f t="shared" si="843"/>
        <v>0</v>
      </c>
      <c r="BY166" s="73">
        <f t="shared" si="843"/>
        <v>0</v>
      </c>
      <c r="BZ166" s="73">
        <f t="shared" si="843"/>
        <v>0</v>
      </c>
      <c r="CA166" s="73">
        <f t="shared" si="843"/>
        <v>0</v>
      </c>
      <c r="CB166" s="73">
        <f t="shared" si="843"/>
        <v>0</v>
      </c>
      <c r="CC166" s="73">
        <f t="shared" si="843"/>
        <v>0</v>
      </c>
      <c r="CD166" s="73">
        <f t="shared" si="843"/>
        <v>0</v>
      </c>
      <c r="CE166" s="73">
        <f t="shared" si="843"/>
        <v>0</v>
      </c>
      <c r="CF166" s="73">
        <f t="shared" si="843"/>
        <v>0</v>
      </c>
      <c r="CG166" s="73">
        <f t="shared" si="843"/>
        <v>0</v>
      </c>
      <c r="CH166" s="73">
        <f t="shared" si="843"/>
        <v>0</v>
      </c>
      <c r="CI166" s="73">
        <f t="shared" si="843"/>
        <v>0</v>
      </c>
      <c r="CJ166" s="73">
        <f t="shared" si="843"/>
        <v>0</v>
      </c>
      <c r="CK166" s="73">
        <f t="shared" si="843"/>
        <v>0</v>
      </c>
      <c r="CL166" s="73">
        <f t="shared" si="843"/>
        <v>0</v>
      </c>
      <c r="CM166" s="73">
        <f t="shared" si="843"/>
        <v>0</v>
      </c>
      <c r="CN166" s="73">
        <f t="shared" si="843"/>
        <v>0</v>
      </c>
      <c r="CO166" s="73">
        <f t="shared" si="843"/>
        <v>0</v>
      </c>
      <c r="CP166" s="73">
        <f t="shared" si="843"/>
        <v>0</v>
      </c>
      <c r="CQ166" s="73">
        <f t="shared" si="843"/>
        <v>0</v>
      </c>
      <c r="CR166" s="73">
        <f t="shared" si="843"/>
        <v>0</v>
      </c>
      <c r="CS166" s="73">
        <f t="shared" si="843"/>
        <v>0</v>
      </c>
      <c r="CT166" s="73">
        <f t="shared" si="843"/>
        <v>0</v>
      </c>
      <c r="CU166" s="73">
        <f t="shared" si="843"/>
        <v>0</v>
      </c>
      <c r="CV166" s="73">
        <f t="shared" si="843"/>
        <v>0</v>
      </c>
      <c r="CW166" s="73">
        <f t="shared" si="843"/>
        <v>0</v>
      </c>
      <c r="CX166" s="73">
        <f t="shared" si="843"/>
        <v>0</v>
      </c>
      <c r="CY166" s="73">
        <f t="shared" si="843"/>
        <v>0</v>
      </c>
      <c r="CZ166" s="73">
        <f t="shared" si="843"/>
        <v>0</v>
      </c>
      <c r="DA166" s="73">
        <f t="shared" si="843"/>
        <v>0</v>
      </c>
      <c r="DB166" s="73">
        <f t="shared" si="843"/>
        <v>0</v>
      </c>
      <c r="DC166" s="73">
        <f t="shared" si="843"/>
        <v>0</v>
      </c>
      <c r="DD166" s="73">
        <f t="shared" si="843"/>
        <v>0</v>
      </c>
      <c r="DE166" s="73">
        <f t="shared" si="843"/>
        <v>0</v>
      </c>
      <c r="DF166" s="73">
        <f t="shared" si="843"/>
        <v>0</v>
      </c>
      <c r="DG166" s="73">
        <f t="shared" si="843"/>
        <v>0</v>
      </c>
      <c r="DH166" s="73">
        <f t="shared" si="843"/>
        <v>0</v>
      </c>
      <c r="DI166" s="73">
        <f t="shared" si="843"/>
        <v>0</v>
      </c>
      <c r="DJ166" s="73">
        <f t="shared" si="843"/>
        <v>0</v>
      </c>
      <c r="DK166" s="73">
        <f t="shared" si="843"/>
        <v>0</v>
      </c>
      <c r="DL166" s="73">
        <f t="shared" si="843"/>
        <v>0</v>
      </c>
      <c r="DM166" s="73">
        <f t="shared" si="843"/>
        <v>0</v>
      </c>
      <c r="DN166" s="73">
        <f t="shared" si="843"/>
        <v>0</v>
      </c>
      <c r="DO166" s="73">
        <f t="shared" si="843"/>
        <v>0</v>
      </c>
      <c r="DP166" s="73">
        <f t="shared" si="843"/>
        <v>0</v>
      </c>
      <c r="DQ166" s="73">
        <f t="shared" si="843"/>
        <v>0</v>
      </c>
      <c r="DR166" s="73">
        <f t="shared" si="843"/>
        <v>0</v>
      </c>
      <c r="DS166" s="73">
        <f t="shared" si="843"/>
        <v>0</v>
      </c>
      <c r="DT166" s="73">
        <f t="shared" si="843"/>
        <v>0</v>
      </c>
      <c r="DU166" s="73">
        <f t="shared" si="843"/>
        <v>0</v>
      </c>
      <c r="DV166" s="73">
        <f t="shared" si="843"/>
        <v>0</v>
      </c>
      <c r="DW166" s="73">
        <f t="shared" si="843"/>
        <v>0</v>
      </c>
      <c r="DX166" s="73">
        <f t="shared" si="843"/>
        <v>0</v>
      </c>
      <c r="DY166" s="73">
        <f t="shared" si="843"/>
        <v>0</v>
      </c>
      <c r="DZ166" s="75"/>
      <c r="EA166" s="76"/>
    </row>
    <row r="167" ht="21.75" customHeight="1">
      <c r="A167" s="64"/>
      <c r="B167" s="70"/>
      <c r="C167" s="71"/>
      <c r="D167" s="71"/>
      <c r="E167" s="71"/>
      <c r="F167" s="78" t="s">
        <v>46</v>
      </c>
      <c r="G167" s="73"/>
      <c r="H167" s="73"/>
      <c r="I167" s="73"/>
      <c r="J167" s="73"/>
      <c r="K167" s="73"/>
      <c r="L167" s="73"/>
      <c r="M167" s="79">
        <f t="shared" ref="M167:O167" si="844">M168</f>
        <v>0</v>
      </c>
      <c r="N167" s="79">
        <f t="shared" si="844"/>
        <v>0</v>
      </c>
      <c r="O167" s="79">
        <f t="shared" si="844"/>
        <v>0</v>
      </c>
      <c r="P167" s="79"/>
      <c r="Q167" s="79"/>
      <c r="R167" s="79"/>
      <c r="S167" s="79">
        <f t="shared" ref="S167:U167" si="845">S168</f>
        <v>0</v>
      </c>
      <c r="T167" s="79">
        <f t="shared" si="845"/>
        <v>0</v>
      </c>
      <c r="U167" s="79">
        <f t="shared" si="845"/>
        <v>0</v>
      </c>
      <c r="V167" s="79"/>
      <c r="W167" s="79"/>
      <c r="X167" s="79"/>
      <c r="Y167" s="79">
        <f t="shared" ref="Y167:AA167" si="846">Y168</f>
        <v>0</v>
      </c>
      <c r="Z167" s="79">
        <f t="shared" si="846"/>
        <v>0</v>
      </c>
      <c r="AA167" s="79">
        <f t="shared" si="846"/>
        <v>0</v>
      </c>
      <c r="AB167" s="79"/>
      <c r="AC167" s="79"/>
      <c r="AD167" s="79"/>
      <c r="AE167" s="79">
        <f t="shared" ref="AE167:AG167" si="847">M167+S167+Y167</f>
        <v>0</v>
      </c>
      <c r="AF167" s="79">
        <f t="shared" si="847"/>
        <v>0</v>
      </c>
      <c r="AG167" s="79">
        <f t="shared" si="847"/>
        <v>0</v>
      </c>
      <c r="AH167" s="73"/>
      <c r="AI167" s="73"/>
      <c r="AJ167" s="73"/>
      <c r="AK167" s="79">
        <f t="shared" ref="AK167:AM167" si="848">AK168</f>
        <v>0</v>
      </c>
      <c r="AL167" s="79">
        <f t="shared" si="848"/>
        <v>0</v>
      </c>
      <c r="AM167" s="79">
        <f t="shared" si="848"/>
        <v>0</v>
      </c>
      <c r="AN167" s="73"/>
      <c r="AO167" s="73"/>
      <c r="AP167" s="73"/>
      <c r="AQ167" s="79">
        <f t="shared" ref="AQ167:AS167" si="849">AE167+AK167</f>
        <v>0</v>
      </c>
      <c r="AR167" s="79">
        <f t="shared" si="849"/>
        <v>0</v>
      </c>
      <c r="AS167" s="79">
        <f t="shared" si="849"/>
        <v>0</v>
      </c>
      <c r="AT167" s="73"/>
      <c r="AU167" s="73"/>
      <c r="AV167" s="73"/>
      <c r="AW167" s="79">
        <v>0.0</v>
      </c>
      <c r="AX167" s="79">
        <v>0.0</v>
      </c>
      <c r="AY167" s="79">
        <v>0.0</v>
      </c>
      <c r="AZ167" s="73"/>
      <c r="BA167" s="73"/>
      <c r="BB167" s="73"/>
      <c r="BC167" s="79">
        <f t="shared" ref="BC167:BE167" si="850">AQ167+AW167</f>
        <v>0</v>
      </c>
      <c r="BD167" s="79">
        <f t="shared" si="850"/>
        <v>0</v>
      </c>
      <c r="BE167" s="79">
        <f t="shared" si="850"/>
        <v>0</v>
      </c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3"/>
      <c r="CO167" s="73"/>
      <c r="CP167" s="73"/>
      <c r="CQ167" s="73"/>
      <c r="CR167" s="73"/>
      <c r="CS167" s="73"/>
      <c r="CT167" s="73"/>
      <c r="CU167" s="73"/>
      <c r="CV167" s="73"/>
      <c r="CW167" s="73"/>
      <c r="CX167" s="73"/>
      <c r="CY167" s="73"/>
      <c r="CZ167" s="73"/>
      <c r="DA167" s="73"/>
      <c r="DB167" s="73"/>
      <c r="DC167" s="73"/>
      <c r="DD167" s="73"/>
      <c r="DE167" s="73"/>
      <c r="DF167" s="73"/>
      <c r="DG167" s="73"/>
      <c r="DH167" s="73"/>
      <c r="DI167" s="73"/>
      <c r="DJ167" s="73"/>
      <c r="DK167" s="73"/>
      <c r="DL167" s="73"/>
      <c r="DM167" s="73"/>
      <c r="DN167" s="73"/>
      <c r="DO167" s="73"/>
      <c r="DP167" s="73"/>
      <c r="DQ167" s="73"/>
      <c r="DR167" s="73"/>
      <c r="DS167" s="73"/>
      <c r="DT167" s="73"/>
      <c r="DU167" s="74"/>
      <c r="DV167" s="74"/>
      <c r="DW167" s="72"/>
      <c r="DX167" s="72"/>
      <c r="DY167" s="72"/>
      <c r="DZ167" s="75"/>
      <c r="EA167" s="76"/>
    </row>
    <row r="168" ht="21.75" customHeight="1">
      <c r="A168" s="64"/>
      <c r="B168" s="70"/>
      <c r="C168" s="71"/>
      <c r="D168" s="71"/>
      <c r="E168" s="71"/>
      <c r="F168" s="81" t="s">
        <v>47</v>
      </c>
      <c r="G168" s="73"/>
      <c r="H168" s="73"/>
      <c r="I168" s="73"/>
      <c r="J168" s="73"/>
      <c r="K168" s="73"/>
      <c r="L168" s="73"/>
      <c r="M168" s="73">
        <f>N168+O168</f>
        <v>0</v>
      </c>
      <c r="N168" s="73">
        <v>0.0</v>
      </c>
      <c r="O168" s="73">
        <v>0.0</v>
      </c>
      <c r="P168" s="73"/>
      <c r="Q168" s="73"/>
      <c r="R168" s="73"/>
      <c r="S168" s="73">
        <f>T168+U168</f>
        <v>0</v>
      </c>
      <c r="T168" s="73">
        <v>0.0</v>
      </c>
      <c r="U168" s="73">
        <v>0.0</v>
      </c>
      <c r="V168" s="73"/>
      <c r="W168" s="73"/>
      <c r="X168" s="73"/>
      <c r="Y168" s="73">
        <f>Z168+AA168</f>
        <v>0</v>
      </c>
      <c r="Z168" s="73">
        <v>0.0</v>
      </c>
      <c r="AA168" s="73">
        <v>0.0</v>
      </c>
      <c r="AB168" s="73"/>
      <c r="AC168" s="73"/>
      <c r="AD168" s="73"/>
      <c r="AE168" s="73">
        <f t="shared" ref="AE168:AG168" si="851">M168+S168+Y168</f>
        <v>0</v>
      </c>
      <c r="AF168" s="73">
        <f t="shared" si="851"/>
        <v>0</v>
      </c>
      <c r="AG168" s="73">
        <f t="shared" si="851"/>
        <v>0</v>
      </c>
      <c r="AH168" s="73"/>
      <c r="AI168" s="73"/>
      <c r="AJ168" s="73"/>
      <c r="AK168" s="73">
        <v>0.0</v>
      </c>
      <c r="AL168" s="73">
        <v>0.0</v>
      </c>
      <c r="AM168" s="73">
        <v>0.0</v>
      </c>
      <c r="AN168" s="73"/>
      <c r="AO168" s="73"/>
      <c r="AP168" s="73"/>
      <c r="AQ168" s="73">
        <f t="shared" ref="AQ168:AS168" si="852">AE168+AK168</f>
        <v>0</v>
      </c>
      <c r="AR168" s="73">
        <f t="shared" si="852"/>
        <v>0</v>
      </c>
      <c r="AS168" s="73">
        <f t="shared" si="852"/>
        <v>0</v>
      </c>
      <c r="AT168" s="73"/>
      <c r="AU168" s="73"/>
      <c r="AV168" s="73"/>
      <c r="AW168" s="73">
        <v>0.0</v>
      </c>
      <c r="AX168" s="73">
        <v>0.0</v>
      </c>
      <c r="AY168" s="73">
        <v>0.0</v>
      </c>
      <c r="AZ168" s="73"/>
      <c r="BA168" s="73"/>
      <c r="BB168" s="73"/>
      <c r="BC168" s="73">
        <f t="shared" ref="BC168:BE168" si="853">AQ168+AW168</f>
        <v>0</v>
      </c>
      <c r="BD168" s="73">
        <f t="shared" si="853"/>
        <v>0</v>
      </c>
      <c r="BE168" s="73">
        <f t="shared" si="853"/>
        <v>0</v>
      </c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3"/>
      <c r="CO168" s="73"/>
      <c r="CP168" s="73"/>
      <c r="CQ168" s="73"/>
      <c r="CR168" s="73"/>
      <c r="CS168" s="73"/>
      <c r="CT168" s="73"/>
      <c r="CU168" s="73"/>
      <c r="CV168" s="73"/>
      <c r="CW168" s="73"/>
      <c r="CX168" s="73"/>
      <c r="CY168" s="73"/>
      <c r="CZ168" s="73"/>
      <c r="DA168" s="73"/>
      <c r="DB168" s="73"/>
      <c r="DC168" s="73"/>
      <c r="DD168" s="73"/>
      <c r="DE168" s="73"/>
      <c r="DF168" s="73"/>
      <c r="DG168" s="73"/>
      <c r="DH168" s="73"/>
      <c r="DI168" s="73"/>
      <c r="DJ168" s="73"/>
      <c r="DK168" s="73"/>
      <c r="DL168" s="73"/>
      <c r="DM168" s="73"/>
      <c r="DN168" s="73"/>
      <c r="DO168" s="73"/>
      <c r="DP168" s="73"/>
      <c r="DQ168" s="73"/>
      <c r="DR168" s="73"/>
      <c r="DS168" s="73"/>
      <c r="DT168" s="73"/>
      <c r="DU168" s="74"/>
      <c r="DV168" s="74"/>
      <c r="DW168" s="72"/>
      <c r="DX168" s="72"/>
      <c r="DY168" s="72"/>
      <c r="DZ168" s="75"/>
      <c r="EA168" s="76"/>
    </row>
    <row r="169" ht="21.75" customHeight="1">
      <c r="A169" s="64"/>
      <c r="B169" s="70"/>
      <c r="C169" s="71"/>
      <c r="D169" s="71"/>
      <c r="E169" s="71"/>
      <c r="F169" s="78" t="s">
        <v>48</v>
      </c>
      <c r="G169" s="73"/>
      <c r="H169" s="73"/>
      <c r="I169" s="73"/>
      <c r="J169" s="73"/>
      <c r="K169" s="73"/>
      <c r="L169" s="73"/>
      <c r="M169" s="79">
        <f t="shared" ref="M169:O169" si="854">M170+M171</f>
        <v>5336.28595</v>
      </c>
      <c r="N169" s="79">
        <f t="shared" si="854"/>
        <v>0</v>
      </c>
      <c r="O169" s="79">
        <f t="shared" si="854"/>
        <v>5336.28595</v>
      </c>
      <c r="P169" s="79"/>
      <c r="Q169" s="79"/>
      <c r="R169" s="79"/>
      <c r="S169" s="79">
        <f t="shared" ref="S169:U169" si="855">S170+S171</f>
        <v>5239</v>
      </c>
      <c r="T169" s="79">
        <f t="shared" si="855"/>
        <v>0</v>
      </c>
      <c r="U169" s="79">
        <f t="shared" si="855"/>
        <v>5239</v>
      </c>
      <c r="V169" s="79"/>
      <c r="W169" s="79"/>
      <c r="X169" s="79"/>
      <c r="Y169" s="79">
        <f t="shared" ref="Y169:AA169" si="856">Y170+Y171</f>
        <v>6216.31731</v>
      </c>
      <c r="Z169" s="79">
        <f t="shared" si="856"/>
        <v>0</v>
      </c>
      <c r="AA169" s="79">
        <f t="shared" si="856"/>
        <v>6216.31731</v>
      </c>
      <c r="AB169" s="79"/>
      <c r="AC169" s="79"/>
      <c r="AD169" s="79"/>
      <c r="AE169" s="79">
        <f t="shared" ref="AE169:AG169" si="857">M169+S169+Y169</f>
        <v>16791.60326</v>
      </c>
      <c r="AF169" s="79">
        <f t="shared" si="857"/>
        <v>0</v>
      </c>
      <c r="AG169" s="79">
        <f t="shared" si="857"/>
        <v>16791.60326</v>
      </c>
      <c r="AH169" s="73"/>
      <c r="AI169" s="73"/>
      <c r="AJ169" s="73"/>
      <c r="AK169" s="79">
        <f t="shared" ref="AK169:AM169" si="858">AK170+AK171</f>
        <v>4493.17508</v>
      </c>
      <c r="AL169" s="79">
        <f t="shared" si="858"/>
        <v>0</v>
      </c>
      <c r="AM169" s="79">
        <f t="shared" si="858"/>
        <v>4493.17508</v>
      </c>
      <c r="AN169" s="73"/>
      <c r="AO169" s="73"/>
      <c r="AP169" s="73"/>
      <c r="AQ169" s="79">
        <f t="shared" ref="AQ169:AS169" si="859">AE169+AK169</f>
        <v>21284.77834</v>
      </c>
      <c r="AR169" s="79">
        <f t="shared" si="859"/>
        <v>0</v>
      </c>
      <c r="AS169" s="79">
        <f t="shared" si="859"/>
        <v>21284.77834</v>
      </c>
      <c r="AT169" s="73"/>
      <c r="AU169" s="73"/>
      <c r="AV169" s="73"/>
      <c r="AW169" s="79">
        <f t="shared" ref="AW169:AY169" si="860">AW170+AW171</f>
        <v>3961.88622</v>
      </c>
      <c r="AX169" s="79">
        <f t="shared" si="860"/>
        <v>0</v>
      </c>
      <c r="AY169" s="79">
        <f t="shared" si="860"/>
        <v>3961.88622</v>
      </c>
      <c r="AZ169" s="73"/>
      <c r="BA169" s="73"/>
      <c r="BB169" s="73"/>
      <c r="BC169" s="79">
        <f t="shared" ref="BC169:BE169" si="861">AQ169+AW169</f>
        <v>25246.66456</v>
      </c>
      <c r="BD169" s="79">
        <f t="shared" si="861"/>
        <v>0</v>
      </c>
      <c r="BE169" s="79">
        <f t="shared" si="861"/>
        <v>25246.66456</v>
      </c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3"/>
      <c r="CO169" s="73"/>
      <c r="CP169" s="73"/>
      <c r="CQ169" s="73"/>
      <c r="CR169" s="73"/>
      <c r="CS169" s="73"/>
      <c r="CT169" s="73"/>
      <c r="CU169" s="73"/>
      <c r="CV169" s="73"/>
      <c r="CW169" s="73"/>
      <c r="CX169" s="73"/>
      <c r="CY169" s="73"/>
      <c r="CZ169" s="73"/>
      <c r="DA169" s="73"/>
      <c r="DB169" s="73"/>
      <c r="DC169" s="73"/>
      <c r="DD169" s="73"/>
      <c r="DE169" s="73"/>
      <c r="DF169" s="73"/>
      <c r="DG169" s="73"/>
      <c r="DH169" s="73"/>
      <c r="DI169" s="73"/>
      <c r="DJ169" s="73"/>
      <c r="DK169" s="73"/>
      <c r="DL169" s="73"/>
      <c r="DM169" s="73"/>
      <c r="DN169" s="73"/>
      <c r="DO169" s="73"/>
      <c r="DP169" s="73"/>
      <c r="DQ169" s="73"/>
      <c r="DR169" s="73"/>
      <c r="DS169" s="73"/>
      <c r="DT169" s="73"/>
      <c r="DU169" s="74"/>
      <c r="DV169" s="74"/>
      <c r="DW169" s="72"/>
      <c r="DX169" s="72"/>
      <c r="DY169" s="72"/>
      <c r="DZ169" s="75"/>
      <c r="EA169" s="82"/>
    </row>
    <row r="170" ht="21.75" customHeight="1">
      <c r="A170" s="64"/>
      <c r="B170" s="70"/>
      <c r="C170" s="71"/>
      <c r="D170" s="71"/>
      <c r="E170" s="71"/>
      <c r="F170" s="81" t="s">
        <v>47</v>
      </c>
      <c r="G170" s="73"/>
      <c r="H170" s="73"/>
      <c r="I170" s="73"/>
      <c r="J170" s="73"/>
      <c r="K170" s="73"/>
      <c r="L170" s="73"/>
      <c r="M170" s="73">
        <f>N170+O170</f>
        <v>5336.28595</v>
      </c>
      <c r="N170" s="73">
        <v>0.0</v>
      </c>
      <c r="O170" s="73">
        <v>5336.28595</v>
      </c>
      <c r="P170" s="73"/>
      <c r="Q170" s="73"/>
      <c r="R170" s="73"/>
      <c r="S170" s="73">
        <v>5241.23611</v>
      </c>
      <c r="T170" s="73">
        <v>0.0</v>
      </c>
      <c r="U170" s="73">
        <v>5241.23611</v>
      </c>
      <c r="V170" s="73"/>
      <c r="W170" s="73"/>
      <c r="X170" s="73"/>
      <c r="Y170" s="73">
        <v>6249.00287</v>
      </c>
      <c r="Z170" s="73">
        <v>0.0</v>
      </c>
      <c r="AA170" s="83">
        <v>6249.00287</v>
      </c>
      <c r="AB170" s="73"/>
      <c r="AC170" s="73"/>
      <c r="AD170" s="73"/>
      <c r="AE170" s="73">
        <f t="shared" ref="AE170:AG170" si="862">M170+S170+Y170</f>
        <v>16826.52493</v>
      </c>
      <c r="AF170" s="73">
        <f t="shared" si="862"/>
        <v>0</v>
      </c>
      <c r="AG170" s="83">
        <f t="shared" si="862"/>
        <v>16826.52493</v>
      </c>
      <c r="AH170" s="73"/>
      <c r="AI170" s="73"/>
      <c r="AJ170" s="73"/>
      <c r="AK170" s="73">
        <v>4564.97482</v>
      </c>
      <c r="AL170" s="73">
        <v>0.0</v>
      </c>
      <c r="AM170" s="73">
        <v>4564.97482</v>
      </c>
      <c r="AN170" s="73"/>
      <c r="AO170" s="73"/>
      <c r="AP170" s="73"/>
      <c r="AQ170" s="73">
        <f t="shared" ref="AQ170:AS170" si="863">AE170+AK170</f>
        <v>21391.49975</v>
      </c>
      <c r="AR170" s="73">
        <f t="shared" si="863"/>
        <v>0</v>
      </c>
      <c r="AS170" s="73">
        <f t="shared" si="863"/>
        <v>21391.49975</v>
      </c>
      <c r="AT170" s="73"/>
      <c r="AU170" s="73"/>
      <c r="AV170" s="73"/>
      <c r="AW170" s="73">
        <f>1991.73201+2038.36161</f>
        <v>4030.09362</v>
      </c>
      <c r="AX170" s="73">
        <v>0.0</v>
      </c>
      <c r="AY170" s="73">
        <f>1991.73201+2038.36161</f>
        <v>4030.09362</v>
      </c>
      <c r="AZ170" s="73"/>
      <c r="BA170" s="73"/>
      <c r="BB170" s="73"/>
      <c r="BC170" s="73">
        <f t="shared" ref="BC170:BE170" si="864">AQ170+AW170</f>
        <v>25421.59337</v>
      </c>
      <c r="BD170" s="73">
        <f t="shared" si="864"/>
        <v>0</v>
      </c>
      <c r="BE170" s="73">
        <f t="shared" si="864"/>
        <v>25421.59337</v>
      </c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3"/>
      <c r="CO170" s="73"/>
      <c r="CP170" s="73"/>
      <c r="CQ170" s="73"/>
      <c r="CR170" s="73"/>
      <c r="CS170" s="73"/>
      <c r="CT170" s="73"/>
      <c r="CU170" s="73"/>
      <c r="CV170" s="73"/>
      <c r="CW170" s="73"/>
      <c r="CX170" s="73"/>
      <c r="CY170" s="73"/>
      <c r="CZ170" s="73"/>
      <c r="DA170" s="73"/>
      <c r="DB170" s="73"/>
      <c r="DC170" s="73"/>
      <c r="DD170" s="73"/>
      <c r="DE170" s="73"/>
      <c r="DF170" s="73"/>
      <c r="DG170" s="73"/>
      <c r="DH170" s="73"/>
      <c r="DI170" s="73"/>
      <c r="DJ170" s="73"/>
      <c r="DK170" s="73"/>
      <c r="DL170" s="73"/>
      <c r="DM170" s="73"/>
      <c r="DN170" s="73"/>
      <c r="DO170" s="73"/>
      <c r="DP170" s="73"/>
      <c r="DQ170" s="73"/>
      <c r="DR170" s="73"/>
      <c r="DS170" s="73"/>
      <c r="DT170" s="73"/>
      <c r="DU170" s="74"/>
      <c r="DV170" s="74"/>
      <c r="DW170" s="72"/>
      <c r="DX170" s="72"/>
      <c r="DY170" s="72"/>
      <c r="DZ170" s="75"/>
      <c r="EA170" s="82" t="s">
        <v>139</v>
      </c>
    </row>
    <row r="171" ht="21.75" customHeight="1">
      <c r="A171" s="64"/>
      <c r="B171" s="70"/>
      <c r="C171" s="71"/>
      <c r="D171" s="71"/>
      <c r="E171" s="71"/>
      <c r="F171" s="81" t="s">
        <v>50</v>
      </c>
      <c r="G171" s="73"/>
      <c r="H171" s="73"/>
      <c r="I171" s="73"/>
      <c r="J171" s="73"/>
      <c r="K171" s="73"/>
      <c r="L171" s="73"/>
      <c r="M171" s="73">
        <v>0.0</v>
      </c>
      <c r="N171" s="73">
        <v>0.0</v>
      </c>
      <c r="O171" s="73">
        <v>0.0</v>
      </c>
      <c r="P171" s="73"/>
      <c r="Q171" s="73"/>
      <c r="R171" s="73"/>
      <c r="S171" s="73">
        <v>-2.236109999999826</v>
      </c>
      <c r="T171" s="73">
        <v>0.0</v>
      </c>
      <c r="U171" s="73">
        <v>-2.236109999999826</v>
      </c>
      <c r="V171" s="73"/>
      <c r="W171" s="73"/>
      <c r="X171" s="73"/>
      <c r="Y171" s="73">
        <v>-32.685559999999896</v>
      </c>
      <c r="Z171" s="73">
        <v>0.0</v>
      </c>
      <c r="AA171" s="83">
        <v>-32.685559999999896</v>
      </c>
      <c r="AB171" s="73"/>
      <c r="AC171" s="73"/>
      <c r="AD171" s="73"/>
      <c r="AE171" s="73">
        <f t="shared" ref="AE171:AG171" si="865">M171+S171+Y171</f>
        <v>-34.92167</v>
      </c>
      <c r="AF171" s="73">
        <f t="shared" si="865"/>
        <v>0</v>
      </c>
      <c r="AG171" s="83">
        <f t="shared" si="865"/>
        <v>-34.92167</v>
      </c>
      <c r="AH171" s="73"/>
      <c r="AI171" s="73"/>
      <c r="AJ171" s="73"/>
      <c r="AK171" s="73">
        <v>-71.79974000000038</v>
      </c>
      <c r="AL171" s="73">
        <v>0.0</v>
      </c>
      <c r="AM171" s="73">
        <v>-71.79974000000038</v>
      </c>
      <c r="AN171" s="73"/>
      <c r="AO171" s="73"/>
      <c r="AP171" s="73"/>
      <c r="AQ171" s="73">
        <f t="shared" ref="AQ171:AS171" si="866">AE171+AK171</f>
        <v>-106.72141</v>
      </c>
      <c r="AR171" s="73">
        <f t="shared" si="866"/>
        <v>0</v>
      </c>
      <c r="AS171" s="73">
        <f t="shared" si="866"/>
        <v>-106.72141</v>
      </c>
      <c r="AT171" s="73"/>
      <c r="AU171" s="73"/>
      <c r="AV171" s="73"/>
      <c r="AW171" s="73">
        <v>-68.2074</v>
      </c>
      <c r="AX171" s="73">
        <v>0.0</v>
      </c>
      <c r="AY171" s="73">
        <v>-68.2074</v>
      </c>
      <c r="AZ171" s="73"/>
      <c r="BA171" s="73"/>
      <c r="BB171" s="73"/>
      <c r="BC171" s="73">
        <f t="shared" ref="BC171:BE171" si="867">AQ171+AW171</f>
        <v>-174.92881</v>
      </c>
      <c r="BD171" s="73">
        <f t="shared" si="867"/>
        <v>0</v>
      </c>
      <c r="BE171" s="73">
        <f t="shared" si="867"/>
        <v>-174.92881</v>
      </c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3"/>
      <c r="CO171" s="73"/>
      <c r="CP171" s="73"/>
      <c r="CQ171" s="73"/>
      <c r="CR171" s="73"/>
      <c r="CS171" s="73"/>
      <c r="CT171" s="73"/>
      <c r="CU171" s="73"/>
      <c r="CV171" s="73"/>
      <c r="CW171" s="73"/>
      <c r="CX171" s="73"/>
      <c r="CY171" s="73"/>
      <c r="CZ171" s="73"/>
      <c r="DA171" s="73"/>
      <c r="DB171" s="73"/>
      <c r="DC171" s="73"/>
      <c r="DD171" s="73"/>
      <c r="DE171" s="73"/>
      <c r="DF171" s="73"/>
      <c r="DG171" s="73"/>
      <c r="DH171" s="73"/>
      <c r="DI171" s="73"/>
      <c r="DJ171" s="73"/>
      <c r="DK171" s="73"/>
      <c r="DL171" s="73"/>
      <c r="DM171" s="73"/>
      <c r="DN171" s="73"/>
      <c r="DO171" s="73"/>
      <c r="DP171" s="73"/>
      <c r="DQ171" s="73"/>
      <c r="DR171" s="73"/>
      <c r="DS171" s="73"/>
      <c r="DT171" s="73"/>
      <c r="DU171" s="74"/>
      <c r="DV171" s="74"/>
      <c r="DW171" s="72"/>
      <c r="DX171" s="72"/>
      <c r="DY171" s="72"/>
      <c r="DZ171" s="75"/>
      <c r="EA171" s="82"/>
    </row>
    <row r="172" ht="21.75" customHeight="1">
      <c r="A172" s="64"/>
      <c r="B172" s="70"/>
      <c r="C172" s="71"/>
      <c r="D172" s="71"/>
      <c r="E172" s="71"/>
      <c r="F172" s="78" t="s">
        <v>51</v>
      </c>
      <c r="G172" s="73"/>
      <c r="H172" s="73"/>
      <c r="I172" s="73"/>
      <c r="J172" s="73"/>
      <c r="K172" s="73"/>
      <c r="L172" s="73"/>
      <c r="M172" s="79">
        <f t="shared" ref="M172:O172" si="868">M173+M174</f>
        <v>0</v>
      </c>
      <c r="N172" s="79">
        <f t="shared" si="868"/>
        <v>0</v>
      </c>
      <c r="O172" s="79">
        <f t="shared" si="868"/>
        <v>0</v>
      </c>
      <c r="P172" s="73"/>
      <c r="Q172" s="73"/>
      <c r="R172" s="73"/>
      <c r="S172" s="79">
        <f t="shared" ref="S172:U172" si="869">S173+S174</f>
        <v>0</v>
      </c>
      <c r="T172" s="79">
        <f t="shared" si="869"/>
        <v>0</v>
      </c>
      <c r="U172" s="79">
        <f t="shared" si="869"/>
        <v>0</v>
      </c>
      <c r="V172" s="73"/>
      <c r="W172" s="73"/>
      <c r="X172" s="73"/>
      <c r="Y172" s="79">
        <f t="shared" ref="Y172:AA172" si="870">Y173+Y174</f>
        <v>0</v>
      </c>
      <c r="Z172" s="79">
        <f t="shared" si="870"/>
        <v>0</v>
      </c>
      <c r="AA172" s="79">
        <f t="shared" si="870"/>
        <v>0</v>
      </c>
      <c r="AB172" s="73"/>
      <c r="AC172" s="73"/>
      <c r="AD172" s="73"/>
      <c r="AE172" s="79">
        <f t="shared" ref="AE172:AG172" si="871">M172+S172+Y172</f>
        <v>0</v>
      </c>
      <c r="AF172" s="79">
        <f t="shared" si="871"/>
        <v>0</v>
      </c>
      <c r="AG172" s="79">
        <f t="shared" si="871"/>
        <v>0</v>
      </c>
      <c r="AH172" s="73"/>
      <c r="AI172" s="73"/>
      <c r="AJ172" s="73"/>
      <c r="AK172" s="79">
        <f t="shared" ref="AK172:AM172" si="872">AK173+AK174</f>
        <v>421.65</v>
      </c>
      <c r="AL172" s="79">
        <f t="shared" si="872"/>
        <v>0</v>
      </c>
      <c r="AM172" s="79">
        <f t="shared" si="872"/>
        <v>421.65</v>
      </c>
      <c r="AN172" s="73"/>
      <c r="AO172" s="73"/>
      <c r="AP172" s="73"/>
      <c r="AQ172" s="79">
        <f t="shared" ref="AQ172:AS172" si="873">AE172+AK172</f>
        <v>421.65</v>
      </c>
      <c r="AR172" s="79">
        <f t="shared" si="873"/>
        <v>0</v>
      </c>
      <c r="AS172" s="79">
        <f t="shared" si="873"/>
        <v>421.65</v>
      </c>
      <c r="AT172" s="73"/>
      <c r="AU172" s="73"/>
      <c r="AV172" s="73"/>
      <c r="AW172" s="79">
        <f t="shared" ref="AW172:AY172" si="874">AW173+AW174</f>
        <v>415.2</v>
      </c>
      <c r="AX172" s="79">
        <f t="shared" si="874"/>
        <v>0</v>
      </c>
      <c r="AY172" s="79">
        <f t="shared" si="874"/>
        <v>415.2</v>
      </c>
      <c r="AZ172" s="73"/>
      <c r="BA172" s="73"/>
      <c r="BB172" s="73"/>
      <c r="BC172" s="79">
        <f t="shared" ref="BC172:BE172" si="875">AQ172+AW172</f>
        <v>836.85</v>
      </c>
      <c r="BD172" s="79">
        <f t="shared" si="875"/>
        <v>0</v>
      </c>
      <c r="BE172" s="79">
        <f t="shared" si="875"/>
        <v>836.85</v>
      </c>
      <c r="BF172" s="73">
        <f t="shared" ref="BF172:DY172" si="876">BF174+BF175+BF176</f>
        <v>0</v>
      </c>
      <c r="BG172" s="73">
        <f t="shared" si="876"/>
        <v>0</v>
      </c>
      <c r="BH172" s="73">
        <f t="shared" si="876"/>
        <v>0</v>
      </c>
      <c r="BI172" s="73">
        <f t="shared" si="876"/>
        <v>0</v>
      </c>
      <c r="BJ172" s="73">
        <f t="shared" si="876"/>
        <v>0</v>
      </c>
      <c r="BK172" s="73">
        <f t="shared" si="876"/>
        <v>0</v>
      </c>
      <c r="BL172" s="73">
        <f t="shared" si="876"/>
        <v>0</v>
      </c>
      <c r="BM172" s="73">
        <f t="shared" si="876"/>
        <v>0</v>
      </c>
      <c r="BN172" s="73">
        <f t="shared" si="876"/>
        <v>0</v>
      </c>
      <c r="BO172" s="73">
        <f t="shared" si="876"/>
        <v>0</v>
      </c>
      <c r="BP172" s="73">
        <f t="shared" si="876"/>
        <v>0</v>
      </c>
      <c r="BQ172" s="73">
        <f t="shared" si="876"/>
        <v>0</v>
      </c>
      <c r="BR172" s="73">
        <f t="shared" si="876"/>
        <v>0</v>
      </c>
      <c r="BS172" s="73">
        <f t="shared" si="876"/>
        <v>0</v>
      </c>
      <c r="BT172" s="73">
        <f t="shared" si="876"/>
        <v>0</v>
      </c>
      <c r="BU172" s="73">
        <f t="shared" si="876"/>
        <v>0</v>
      </c>
      <c r="BV172" s="73">
        <f t="shared" si="876"/>
        <v>0</v>
      </c>
      <c r="BW172" s="73">
        <f t="shared" si="876"/>
        <v>0</v>
      </c>
      <c r="BX172" s="73">
        <f t="shared" si="876"/>
        <v>0</v>
      </c>
      <c r="BY172" s="73">
        <f t="shared" si="876"/>
        <v>0</v>
      </c>
      <c r="BZ172" s="73">
        <f t="shared" si="876"/>
        <v>0</v>
      </c>
      <c r="CA172" s="73">
        <f t="shared" si="876"/>
        <v>0</v>
      </c>
      <c r="CB172" s="73">
        <f t="shared" si="876"/>
        <v>0</v>
      </c>
      <c r="CC172" s="73">
        <f t="shared" si="876"/>
        <v>0</v>
      </c>
      <c r="CD172" s="73">
        <f t="shared" si="876"/>
        <v>0</v>
      </c>
      <c r="CE172" s="73">
        <f t="shared" si="876"/>
        <v>0</v>
      </c>
      <c r="CF172" s="73">
        <f t="shared" si="876"/>
        <v>0</v>
      </c>
      <c r="CG172" s="73">
        <f t="shared" si="876"/>
        <v>0</v>
      </c>
      <c r="CH172" s="73">
        <f t="shared" si="876"/>
        <v>0</v>
      </c>
      <c r="CI172" s="73">
        <f t="shared" si="876"/>
        <v>0</v>
      </c>
      <c r="CJ172" s="73">
        <f t="shared" si="876"/>
        <v>0</v>
      </c>
      <c r="CK172" s="73">
        <f t="shared" si="876"/>
        <v>0</v>
      </c>
      <c r="CL172" s="73">
        <f t="shared" si="876"/>
        <v>0</v>
      </c>
      <c r="CM172" s="73">
        <f t="shared" si="876"/>
        <v>0</v>
      </c>
      <c r="CN172" s="73">
        <f t="shared" si="876"/>
        <v>0</v>
      </c>
      <c r="CO172" s="73">
        <f t="shared" si="876"/>
        <v>0</v>
      </c>
      <c r="CP172" s="73">
        <f t="shared" si="876"/>
        <v>0</v>
      </c>
      <c r="CQ172" s="73">
        <f t="shared" si="876"/>
        <v>0</v>
      </c>
      <c r="CR172" s="73">
        <f t="shared" si="876"/>
        <v>0</v>
      </c>
      <c r="CS172" s="73">
        <f t="shared" si="876"/>
        <v>0</v>
      </c>
      <c r="CT172" s="73">
        <f t="shared" si="876"/>
        <v>0</v>
      </c>
      <c r="CU172" s="73">
        <f t="shared" si="876"/>
        <v>0</v>
      </c>
      <c r="CV172" s="73">
        <f t="shared" si="876"/>
        <v>0</v>
      </c>
      <c r="CW172" s="73">
        <f t="shared" si="876"/>
        <v>0</v>
      </c>
      <c r="CX172" s="73">
        <f t="shared" si="876"/>
        <v>0</v>
      </c>
      <c r="CY172" s="73">
        <f t="shared" si="876"/>
        <v>0</v>
      </c>
      <c r="CZ172" s="73">
        <f t="shared" si="876"/>
        <v>0</v>
      </c>
      <c r="DA172" s="73">
        <f t="shared" si="876"/>
        <v>0</v>
      </c>
      <c r="DB172" s="73">
        <f t="shared" si="876"/>
        <v>0</v>
      </c>
      <c r="DC172" s="73">
        <f t="shared" si="876"/>
        <v>0</v>
      </c>
      <c r="DD172" s="73">
        <f t="shared" si="876"/>
        <v>0</v>
      </c>
      <c r="DE172" s="73">
        <f t="shared" si="876"/>
        <v>0</v>
      </c>
      <c r="DF172" s="73">
        <f t="shared" si="876"/>
        <v>0</v>
      </c>
      <c r="DG172" s="73">
        <f t="shared" si="876"/>
        <v>0</v>
      </c>
      <c r="DH172" s="73">
        <f t="shared" si="876"/>
        <v>0</v>
      </c>
      <c r="DI172" s="73">
        <f t="shared" si="876"/>
        <v>0</v>
      </c>
      <c r="DJ172" s="73">
        <f t="shared" si="876"/>
        <v>0</v>
      </c>
      <c r="DK172" s="73">
        <f t="shared" si="876"/>
        <v>0</v>
      </c>
      <c r="DL172" s="73">
        <f t="shared" si="876"/>
        <v>0</v>
      </c>
      <c r="DM172" s="73">
        <f t="shared" si="876"/>
        <v>0</v>
      </c>
      <c r="DN172" s="73">
        <f t="shared" si="876"/>
        <v>0</v>
      </c>
      <c r="DO172" s="73">
        <f t="shared" si="876"/>
        <v>0</v>
      </c>
      <c r="DP172" s="73">
        <f t="shared" si="876"/>
        <v>0</v>
      </c>
      <c r="DQ172" s="73">
        <f t="shared" si="876"/>
        <v>0</v>
      </c>
      <c r="DR172" s="73">
        <f t="shared" si="876"/>
        <v>0</v>
      </c>
      <c r="DS172" s="73">
        <f t="shared" si="876"/>
        <v>0</v>
      </c>
      <c r="DT172" s="73">
        <f t="shared" si="876"/>
        <v>0</v>
      </c>
      <c r="DU172" s="73">
        <f t="shared" si="876"/>
        <v>0</v>
      </c>
      <c r="DV172" s="73">
        <f t="shared" si="876"/>
        <v>0</v>
      </c>
      <c r="DW172" s="73">
        <f t="shared" si="876"/>
        <v>0</v>
      </c>
      <c r="DX172" s="73">
        <f t="shared" si="876"/>
        <v>0</v>
      </c>
      <c r="DY172" s="73">
        <f t="shared" si="876"/>
        <v>0</v>
      </c>
      <c r="DZ172" s="73"/>
      <c r="EA172" s="76"/>
    </row>
    <row r="173" ht="21.75" customHeight="1">
      <c r="A173" s="64"/>
      <c r="B173" s="70"/>
      <c r="C173" s="71"/>
      <c r="D173" s="71"/>
      <c r="E173" s="71"/>
      <c r="F173" s="81" t="s">
        <v>47</v>
      </c>
      <c r="G173" s="73"/>
      <c r="H173" s="73"/>
      <c r="I173" s="73"/>
      <c r="J173" s="73"/>
      <c r="K173" s="73"/>
      <c r="L173" s="73"/>
      <c r="M173" s="73">
        <v>0.0</v>
      </c>
      <c r="N173" s="73">
        <v>0.0</v>
      </c>
      <c r="O173" s="73">
        <v>0.0</v>
      </c>
      <c r="P173" s="73"/>
      <c r="Q173" s="73"/>
      <c r="R173" s="73"/>
      <c r="S173" s="73">
        <v>0.0</v>
      </c>
      <c r="T173" s="73">
        <v>0.0</v>
      </c>
      <c r="U173" s="73">
        <v>0.0</v>
      </c>
      <c r="V173" s="73"/>
      <c r="W173" s="73"/>
      <c r="X173" s="73"/>
      <c r="Y173" s="73">
        <v>0.0</v>
      </c>
      <c r="Z173" s="73">
        <v>0.0</v>
      </c>
      <c r="AA173" s="73">
        <v>0.0</v>
      </c>
      <c r="AB173" s="73"/>
      <c r="AC173" s="73"/>
      <c r="AD173" s="73"/>
      <c r="AE173" s="73">
        <f t="shared" ref="AE173:AG173" si="877">M173+S173+Y173</f>
        <v>0</v>
      </c>
      <c r="AF173" s="73">
        <f t="shared" si="877"/>
        <v>0</v>
      </c>
      <c r="AG173" s="73">
        <f t="shared" si="877"/>
        <v>0</v>
      </c>
      <c r="AH173" s="73"/>
      <c r="AI173" s="73"/>
      <c r="AJ173" s="73"/>
      <c r="AK173" s="73">
        <v>111.9</v>
      </c>
      <c r="AL173" s="73">
        <v>0.0</v>
      </c>
      <c r="AM173" s="73">
        <v>111.9</v>
      </c>
      <c r="AN173" s="73"/>
      <c r="AO173" s="73"/>
      <c r="AP173" s="73"/>
      <c r="AQ173" s="73">
        <f t="shared" ref="AQ173:AS173" si="878">AE173+AK173</f>
        <v>111.9</v>
      </c>
      <c r="AR173" s="73">
        <f t="shared" si="878"/>
        <v>0</v>
      </c>
      <c r="AS173" s="73">
        <f t="shared" si="878"/>
        <v>111.9</v>
      </c>
      <c r="AT173" s="73"/>
      <c r="AU173" s="73"/>
      <c r="AV173" s="73"/>
      <c r="AW173" s="73">
        <v>0.0</v>
      </c>
      <c r="AX173" s="73">
        <v>0.0</v>
      </c>
      <c r="AY173" s="73">
        <v>0.0</v>
      </c>
      <c r="AZ173" s="73"/>
      <c r="BA173" s="73"/>
      <c r="BB173" s="73"/>
      <c r="BC173" s="73">
        <f t="shared" ref="BC173:BE173" si="879">AQ173+AW173</f>
        <v>111.9</v>
      </c>
      <c r="BD173" s="73">
        <f t="shared" si="879"/>
        <v>0</v>
      </c>
      <c r="BE173" s="73">
        <f t="shared" si="879"/>
        <v>111.9</v>
      </c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3"/>
      <c r="CO173" s="73"/>
      <c r="CP173" s="73"/>
      <c r="CQ173" s="73"/>
      <c r="CR173" s="73"/>
      <c r="CS173" s="73"/>
      <c r="CT173" s="73"/>
      <c r="CU173" s="73"/>
      <c r="CV173" s="73"/>
      <c r="CW173" s="73"/>
      <c r="CX173" s="73"/>
      <c r="CY173" s="73"/>
      <c r="CZ173" s="73"/>
      <c r="DA173" s="73"/>
      <c r="DB173" s="73"/>
      <c r="DC173" s="73"/>
      <c r="DD173" s="73"/>
      <c r="DE173" s="73"/>
      <c r="DF173" s="73"/>
      <c r="DG173" s="73"/>
      <c r="DH173" s="73"/>
      <c r="DI173" s="73"/>
      <c r="DJ173" s="73"/>
      <c r="DK173" s="73"/>
      <c r="DL173" s="73"/>
      <c r="DM173" s="73"/>
      <c r="DN173" s="73"/>
      <c r="DO173" s="73"/>
      <c r="DP173" s="73"/>
      <c r="DQ173" s="73"/>
      <c r="DR173" s="73"/>
      <c r="DS173" s="73"/>
      <c r="DT173" s="73"/>
      <c r="DU173" s="73"/>
      <c r="DV173" s="73"/>
      <c r="DW173" s="73"/>
      <c r="DX173" s="73"/>
      <c r="DY173" s="73"/>
      <c r="DZ173" s="73"/>
      <c r="EA173" s="76"/>
    </row>
    <row r="174" ht="21.75" customHeight="1">
      <c r="A174" s="64"/>
      <c r="B174" s="70"/>
      <c r="C174" s="71"/>
      <c r="D174" s="71"/>
      <c r="E174" s="71"/>
      <c r="F174" s="81" t="s">
        <v>52</v>
      </c>
      <c r="G174" s="73"/>
      <c r="H174" s="73"/>
      <c r="I174" s="73"/>
      <c r="J174" s="73"/>
      <c r="K174" s="73"/>
      <c r="L174" s="73"/>
      <c r="M174" s="73">
        <f t="shared" ref="M174:M176" si="883">N174+O174</f>
        <v>0</v>
      </c>
      <c r="N174" s="73">
        <v>0.0</v>
      </c>
      <c r="O174" s="73">
        <v>0.0</v>
      </c>
      <c r="P174" s="73"/>
      <c r="Q174" s="73"/>
      <c r="R174" s="73"/>
      <c r="S174" s="73">
        <f t="shared" ref="S174:S176" si="884">T174+U174</f>
        <v>0</v>
      </c>
      <c r="T174" s="73">
        <v>0.0</v>
      </c>
      <c r="U174" s="73">
        <v>0.0</v>
      </c>
      <c r="V174" s="73"/>
      <c r="W174" s="73"/>
      <c r="X174" s="73"/>
      <c r="Y174" s="73">
        <f t="shared" ref="Y174:Y176" si="885">Z174+AA174</f>
        <v>0</v>
      </c>
      <c r="Z174" s="73">
        <v>0.0</v>
      </c>
      <c r="AA174" s="73">
        <v>0.0</v>
      </c>
      <c r="AB174" s="73"/>
      <c r="AC174" s="73"/>
      <c r="AD174" s="73"/>
      <c r="AE174" s="73">
        <f t="shared" ref="AE174:AG174" si="880">M174+S174+Y174</f>
        <v>0</v>
      </c>
      <c r="AF174" s="73">
        <f t="shared" si="880"/>
        <v>0</v>
      </c>
      <c r="AG174" s="73">
        <f t="shared" si="880"/>
        <v>0</v>
      </c>
      <c r="AH174" s="73"/>
      <c r="AI174" s="73"/>
      <c r="AJ174" s="73"/>
      <c r="AK174" s="73">
        <v>309.75</v>
      </c>
      <c r="AL174" s="73">
        <v>0.0</v>
      </c>
      <c r="AM174" s="73">
        <v>309.75</v>
      </c>
      <c r="AN174" s="73"/>
      <c r="AO174" s="73"/>
      <c r="AP174" s="73"/>
      <c r="AQ174" s="73">
        <f t="shared" ref="AQ174:AS174" si="881">AE174+AK174</f>
        <v>309.75</v>
      </c>
      <c r="AR174" s="73">
        <f t="shared" si="881"/>
        <v>0</v>
      </c>
      <c r="AS174" s="73">
        <f t="shared" si="881"/>
        <v>309.75</v>
      </c>
      <c r="AT174" s="73"/>
      <c r="AU174" s="73"/>
      <c r="AV174" s="73"/>
      <c r="AW174" s="73">
        <f t="shared" ref="AW174:AW176" si="888">AX174+AY174</f>
        <v>415.2</v>
      </c>
      <c r="AX174" s="73">
        <v>0.0</v>
      </c>
      <c r="AY174" s="73">
        <v>415.2</v>
      </c>
      <c r="AZ174" s="73"/>
      <c r="BA174" s="73"/>
      <c r="BB174" s="73"/>
      <c r="BC174" s="73">
        <f t="shared" ref="BC174:BE174" si="882">AQ174+AW174</f>
        <v>724.95</v>
      </c>
      <c r="BD174" s="73">
        <f t="shared" si="882"/>
        <v>0</v>
      </c>
      <c r="BE174" s="73">
        <f t="shared" si="882"/>
        <v>724.95</v>
      </c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3"/>
      <c r="CO174" s="73"/>
      <c r="CP174" s="73"/>
      <c r="CQ174" s="73"/>
      <c r="CR174" s="73"/>
      <c r="CS174" s="73"/>
      <c r="CT174" s="73"/>
      <c r="CU174" s="73"/>
      <c r="CV174" s="73"/>
      <c r="CW174" s="73"/>
      <c r="CX174" s="73"/>
      <c r="CY174" s="73"/>
      <c r="CZ174" s="73"/>
      <c r="DA174" s="73"/>
      <c r="DB174" s="73"/>
      <c r="DC174" s="73"/>
      <c r="DD174" s="73"/>
      <c r="DE174" s="73"/>
      <c r="DF174" s="73"/>
      <c r="DG174" s="73"/>
      <c r="DH174" s="73"/>
      <c r="DI174" s="73"/>
      <c r="DJ174" s="73"/>
      <c r="DK174" s="73"/>
      <c r="DL174" s="73"/>
      <c r="DM174" s="73"/>
      <c r="DN174" s="73"/>
      <c r="DO174" s="73"/>
      <c r="DP174" s="73"/>
      <c r="DQ174" s="73"/>
      <c r="DR174" s="73"/>
      <c r="DS174" s="73"/>
      <c r="DT174" s="73"/>
      <c r="DU174" s="74"/>
      <c r="DV174" s="74"/>
      <c r="DW174" s="72"/>
      <c r="DX174" s="72"/>
      <c r="DY174" s="72"/>
      <c r="DZ174" s="96"/>
      <c r="EA174" s="82" t="s">
        <v>140</v>
      </c>
    </row>
    <row r="175" ht="21.75" customHeight="1">
      <c r="A175" s="64"/>
      <c r="B175" s="92"/>
      <c r="C175" s="72"/>
      <c r="D175" s="71"/>
      <c r="E175" s="71"/>
      <c r="F175" s="78" t="s">
        <v>53</v>
      </c>
      <c r="G175" s="98"/>
      <c r="H175" s="98"/>
      <c r="I175" s="98"/>
      <c r="J175" s="73"/>
      <c r="K175" s="73"/>
      <c r="L175" s="73"/>
      <c r="M175" s="79">
        <f t="shared" si="883"/>
        <v>0</v>
      </c>
      <c r="N175" s="79">
        <v>0.0</v>
      </c>
      <c r="O175" s="79">
        <v>0.0</v>
      </c>
      <c r="P175" s="79"/>
      <c r="Q175" s="79"/>
      <c r="R175" s="79"/>
      <c r="S175" s="79">
        <f t="shared" si="884"/>
        <v>0</v>
      </c>
      <c r="T175" s="79">
        <v>0.0</v>
      </c>
      <c r="U175" s="79">
        <v>0.0</v>
      </c>
      <c r="V175" s="79"/>
      <c r="W175" s="79"/>
      <c r="X175" s="79"/>
      <c r="Y175" s="79">
        <f t="shared" si="885"/>
        <v>85070.4669</v>
      </c>
      <c r="Z175" s="79">
        <v>0.0</v>
      </c>
      <c r="AA175" s="79">
        <v>85070.4669</v>
      </c>
      <c r="AB175" s="79"/>
      <c r="AC175" s="79"/>
      <c r="AD175" s="79"/>
      <c r="AE175" s="79">
        <f t="shared" ref="AE175:AG175" si="886">M175+S175+Y175</f>
        <v>85070.4669</v>
      </c>
      <c r="AF175" s="79">
        <f t="shared" si="886"/>
        <v>0</v>
      </c>
      <c r="AG175" s="79">
        <f t="shared" si="886"/>
        <v>85070.4669</v>
      </c>
      <c r="AH175" s="73"/>
      <c r="AI175" s="73"/>
      <c r="AJ175" s="73"/>
      <c r="AK175" s="79">
        <f t="shared" ref="AK175:AK176" si="891">AL175+AM175</f>
        <v>0</v>
      </c>
      <c r="AL175" s="79">
        <v>0.0</v>
      </c>
      <c r="AM175" s="79">
        <v>0.0</v>
      </c>
      <c r="AN175" s="73"/>
      <c r="AO175" s="73"/>
      <c r="AP175" s="73"/>
      <c r="AQ175" s="79">
        <f t="shared" ref="AQ175:AS175" si="887">AE175+AK175</f>
        <v>85070.4669</v>
      </c>
      <c r="AR175" s="79">
        <f t="shared" si="887"/>
        <v>0</v>
      </c>
      <c r="AS175" s="79">
        <f t="shared" si="887"/>
        <v>85070.4669</v>
      </c>
      <c r="AT175" s="73"/>
      <c r="AU175" s="73"/>
      <c r="AV175" s="73"/>
      <c r="AW175" s="79">
        <f t="shared" si="888"/>
        <v>0</v>
      </c>
      <c r="AX175" s="79">
        <v>0.0</v>
      </c>
      <c r="AY175" s="79">
        <v>0.0</v>
      </c>
      <c r="AZ175" s="73"/>
      <c r="BA175" s="73"/>
      <c r="BB175" s="73"/>
      <c r="BC175" s="79">
        <f t="shared" ref="BC175:BE175" si="889">AQ175+AW175</f>
        <v>85070.4669</v>
      </c>
      <c r="BD175" s="79">
        <f t="shared" si="889"/>
        <v>0</v>
      </c>
      <c r="BE175" s="79">
        <f t="shared" si="889"/>
        <v>85070.4669</v>
      </c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3"/>
      <c r="CO175" s="73"/>
      <c r="CP175" s="73"/>
      <c r="CQ175" s="73"/>
      <c r="CR175" s="73"/>
      <c r="CS175" s="73"/>
      <c r="CT175" s="73"/>
      <c r="CU175" s="73"/>
      <c r="CV175" s="73"/>
      <c r="CW175" s="73"/>
      <c r="CX175" s="73"/>
      <c r="CY175" s="73"/>
      <c r="CZ175" s="73"/>
      <c r="DA175" s="73"/>
      <c r="DB175" s="73"/>
      <c r="DC175" s="73"/>
      <c r="DD175" s="73"/>
      <c r="DE175" s="73"/>
      <c r="DF175" s="73"/>
      <c r="DG175" s="73"/>
      <c r="DH175" s="73"/>
      <c r="DI175" s="73"/>
      <c r="DJ175" s="73"/>
      <c r="DK175" s="73"/>
      <c r="DL175" s="73"/>
      <c r="DM175" s="73"/>
      <c r="DN175" s="73"/>
      <c r="DO175" s="73"/>
      <c r="DP175" s="73"/>
      <c r="DQ175" s="73"/>
      <c r="DR175" s="73"/>
      <c r="DS175" s="73"/>
      <c r="DT175" s="73"/>
      <c r="DU175" s="74"/>
      <c r="DV175" s="74"/>
      <c r="DW175" s="72"/>
      <c r="DX175" s="72"/>
      <c r="DY175" s="72"/>
      <c r="DZ175" s="75"/>
      <c r="EA175" s="76" t="s">
        <v>141</v>
      </c>
    </row>
    <row r="176" ht="21.75" customHeight="1">
      <c r="A176" s="64"/>
      <c r="B176" s="92"/>
      <c r="C176" s="72"/>
      <c r="D176" s="71"/>
      <c r="E176" s="71"/>
      <c r="F176" s="78" t="s">
        <v>55</v>
      </c>
      <c r="G176" s="98"/>
      <c r="H176" s="98"/>
      <c r="I176" s="98"/>
      <c r="J176" s="73"/>
      <c r="K176" s="73"/>
      <c r="L176" s="73"/>
      <c r="M176" s="79">
        <f t="shared" si="883"/>
        <v>0</v>
      </c>
      <c r="N176" s="79">
        <v>0.0</v>
      </c>
      <c r="O176" s="79">
        <v>0.0</v>
      </c>
      <c r="P176" s="79"/>
      <c r="Q176" s="79"/>
      <c r="R176" s="79"/>
      <c r="S176" s="79">
        <f t="shared" si="884"/>
        <v>0</v>
      </c>
      <c r="T176" s="79">
        <v>0.0</v>
      </c>
      <c r="U176" s="79">
        <v>0.0</v>
      </c>
      <c r="V176" s="79"/>
      <c r="W176" s="79"/>
      <c r="X176" s="79"/>
      <c r="Y176" s="79">
        <f t="shared" si="885"/>
        <v>0</v>
      </c>
      <c r="Z176" s="79">
        <v>0.0</v>
      </c>
      <c r="AA176" s="79">
        <v>0.0</v>
      </c>
      <c r="AB176" s="79"/>
      <c r="AC176" s="79"/>
      <c r="AD176" s="79"/>
      <c r="AE176" s="79">
        <f t="shared" ref="AE176:AG176" si="890">M176+S176+Y176</f>
        <v>0</v>
      </c>
      <c r="AF176" s="79">
        <f t="shared" si="890"/>
        <v>0</v>
      </c>
      <c r="AG176" s="79">
        <f t="shared" si="890"/>
        <v>0</v>
      </c>
      <c r="AH176" s="73"/>
      <c r="AI176" s="73"/>
      <c r="AJ176" s="73"/>
      <c r="AK176" s="79">
        <f t="shared" si="891"/>
        <v>0</v>
      </c>
      <c r="AL176" s="79">
        <v>0.0</v>
      </c>
      <c r="AM176" s="79">
        <v>0.0</v>
      </c>
      <c r="AN176" s="73"/>
      <c r="AO176" s="73"/>
      <c r="AP176" s="73"/>
      <c r="AQ176" s="79">
        <f t="shared" ref="AQ176:AS176" si="892">AE176+AK176</f>
        <v>0</v>
      </c>
      <c r="AR176" s="79">
        <f t="shared" si="892"/>
        <v>0</v>
      </c>
      <c r="AS176" s="79">
        <f t="shared" si="892"/>
        <v>0</v>
      </c>
      <c r="AT176" s="73"/>
      <c r="AU176" s="73"/>
      <c r="AV176" s="73"/>
      <c r="AW176" s="79">
        <f t="shared" si="888"/>
        <v>2191.92565</v>
      </c>
      <c r="AX176" s="79">
        <v>0.0</v>
      </c>
      <c r="AY176" s="79">
        <v>2191.92565</v>
      </c>
      <c r="AZ176" s="73"/>
      <c r="BA176" s="73"/>
      <c r="BB176" s="73"/>
      <c r="BC176" s="79">
        <f t="shared" ref="BC176:BE176" si="893">AQ176+AW176</f>
        <v>2191.92565</v>
      </c>
      <c r="BD176" s="79">
        <f t="shared" si="893"/>
        <v>0</v>
      </c>
      <c r="BE176" s="79">
        <f t="shared" si="893"/>
        <v>2191.92565</v>
      </c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3"/>
      <c r="CO176" s="73"/>
      <c r="CP176" s="73"/>
      <c r="CQ176" s="73"/>
      <c r="CR176" s="73"/>
      <c r="CS176" s="73"/>
      <c r="CT176" s="73"/>
      <c r="CU176" s="73"/>
      <c r="CV176" s="73"/>
      <c r="CW176" s="73"/>
      <c r="CX176" s="73"/>
      <c r="CY176" s="73"/>
      <c r="CZ176" s="73"/>
      <c r="DA176" s="73"/>
      <c r="DB176" s="73"/>
      <c r="DC176" s="73"/>
      <c r="DD176" s="73"/>
      <c r="DE176" s="73"/>
      <c r="DF176" s="73"/>
      <c r="DG176" s="73"/>
      <c r="DH176" s="73"/>
      <c r="DI176" s="73"/>
      <c r="DJ176" s="73"/>
      <c r="DK176" s="73"/>
      <c r="DL176" s="73"/>
      <c r="DM176" s="73"/>
      <c r="DN176" s="73"/>
      <c r="DO176" s="73"/>
      <c r="DP176" s="73"/>
      <c r="DQ176" s="73"/>
      <c r="DR176" s="73"/>
      <c r="DS176" s="73"/>
      <c r="DT176" s="73"/>
      <c r="DU176" s="74"/>
      <c r="DV176" s="74"/>
      <c r="DW176" s="72"/>
      <c r="DX176" s="72"/>
      <c r="DY176" s="72"/>
      <c r="DZ176" s="75"/>
      <c r="EA176" s="76" t="s">
        <v>142</v>
      </c>
    </row>
    <row r="177" ht="21.75" customHeight="1">
      <c r="A177" s="64"/>
      <c r="B177" s="70" t="s">
        <v>40</v>
      </c>
      <c r="C177" s="71" t="s">
        <v>143</v>
      </c>
      <c r="D177" s="71" t="s">
        <v>41</v>
      </c>
      <c r="E177" s="71" t="s">
        <v>76</v>
      </c>
      <c r="F177" s="72" t="s">
        <v>144</v>
      </c>
      <c r="G177" s="73">
        <v>842619.0</v>
      </c>
      <c r="H177" s="73">
        <v>0.0</v>
      </c>
      <c r="I177" s="73">
        <v>842619.0</v>
      </c>
      <c r="J177" s="73">
        <f t="shared" ref="J177:L177" si="894">J178+J180+J183</f>
        <v>0</v>
      </c>
      <c r="K177" s="73">
        <f t="shared" si="894"/>
        <v>0</v>
      </c>
      <c r="L177" s="73">
        <f t="shared" si="894"/>
        <v>0</v>
      </c>
      <c r="M177" s="73">
        <f t="shared" ref="M177:O177" si="895">M178+M180+M183+M186+M187</f>
        <v>9521.15081</v>
      </c>
      <c r="N177" s="73">
        <f t="shared" si="895"/>
        <v>0</v>
      </c>
      <c r="O177" s="73">
        <f t="shared" si="895"/>
        <v>9521.15081</v>
      </c>
      <c r="P177" s="73">
        <f t="shared" ref="P177:R177" si="896">P178+P180+P183</f>
        <v>0</v>
      </c>
      <c r="Q177" s="73">
        <f t="shared" si="896"/>
        <v>0</v>
      </c>
      <c r="R177" s="73">
        <f t="shared" si="896"/>
        <v>0</v>
      </c>
      <c r="S177" s="73">
        <f t="shared" ref="S177:U177" si="897">S178+S180+S183+S186+S187</f>
        <v>8096.55</v>
      </c>
      <c r="T177" s="73">
        <f t="shared" si="897"/>
        <v>0</v>
      </c>
      <c r="U177" s="73">
        <f t="shared" si="897"/>
        <v>8096.55</v>
      </c>
      <c r="V177" s="73">
        <v>1071.0</v>
      </c>
      <c r="W177" s="73">
        <f>W178+W180+W183</f>
        <v>0</v>
      </c>
      <c r="X177" s="73">
        <v>1071.0</v>
      </c>
      <c r="Y177" s="73">
        <f t="shared" ref="Y177:AA177" si="898">Y178+Y180+Y183+Y186+Y187</f>
        <v>180317.1599</v>
      </c>
      <c r="Z177" s="73">
        <f t="shared" si="898"/>
        <v>0</v>
      </c>
      <c r="AA177" s="73">
        <f t="shared" si="898"/>
        <v>180317.1599</v>
      </c>
      <c r="AB177" s="73">
        <f t="shared" ref="AB177:AG177" si="899">J177+P177+V177</f>
        <v>1071</v>
      </c>
      <c r="AC177" s="73">
        <f t="shared" si="899"/>
        <v>0</v>
      </c>
      <c r="AD177" s="73">
        <f t="shared" si="899"/>
        <v>1071</v>
      </c>
      <c r="AE177" s="73">
        <f t="shared" si="899"/>
        <v>197934.8607</v>
      </c>
      <c r="AF177" s="73">
        <f t="shared" si="899"/>
        <v>0</v>
      </c>
      <c r="AG177" s="73">
        <f t="shared" si="899"/>
        <v>197934.8607</v>
      </c>
      <c r="AH177" s="73">
        <v>3630.0</v>
      </c>
      <c r="AI177" s="73">
        <v>0.0</v>
      </c>
      <c r="AJ177" s="73">
        <v>3630.0</v>
      </c>
      <c r="AK177" s="73">
        <f t="shared" ref="AK177:AM177" si="900">AK178+AK180+AK183+AK186+AK187</f>
        <v>17393.67229</v>
      </c>
      <c r="AL177" s="73">
        <f t="shared" si="900"/>
        <v>0</v>
      </c>
      <c r="AM177" s="73">
        <f t="shared" si="900"/>
        <v>17393.67229</v>
      </c>
      <c r="AN177" s="73">
        <f t="shared" ref="AN177:AS177" si="901">AB177+AH177</f>
        <v>4701</v>
      </c>
      <c r="AO177" s="73">
        <f t="shared" si="901"/>
        <v>0</v>
      </c>
      <c r="AP177" s="73">
        <f t="shared" si="901"/>
        <v>4701</v>
      </c>
      <c r="AQ177" s="73">
        <f t="shared" si="901"/>
        <v>215328.533</v>
      </c>
      <c r="AR177" s="73">
        <f t="shared" si="901"/>
        <v>0</v>
      </c>
      <c r="AS177" s="73">
        <f t="shared" si="901"/>
        <v>215328.533</v>
      </c>
      <c r="AT177" s="73">
        <v>5445.0</v>
      </c>
      <c r="AU177" s="73">
        <f>AU178+AU180+AU183</f>
        <v>0</v>
      </c>
      <c r="AV177" s="73">
        <v>5445.0</v>
      </c>
      <c r="AW177" s="73">
        <f t="shared" ref="AW177:AY177" si="902">AW178+AW180+AW183+AW186+AW187</f>
        <v>101829.4459</v>
      </c>
      <c r="AX177" s="73">
        <f t="shared" si="902"/>
        <v>0</v>
      </c>
      <c r="AY177" s="73">
        <f t="shared" si="902"/>
        <v>101829.4459</v>
      </c>
      <c r="AZ177" s="73">
        <f t="shared" ref="AZ177:BE177" si="903">AN177+AT177</f>
        <v>10146</v>
      </c>
      <c r="BA177" s="73">
        <f t="shared" si="903"/>
        <v>0</v>
      </c>
      <c r="BB177" s="73">
        <f t="shared" si="903"/>
        <v>10146</v>
      </c>
      <c r="BC177" s="73">
        <f t="shared" si="903"/>
        <v>317157.979</v>
      </c>
      <c r="BD177" s="73">
        <f t="shared" si="903"/>
        <v>0</v>
      </c>
      <c r="BE177" s="73">
        <f t="shared" si="903"/>
        <v>317157.979</v>
      </c>
      <c r="BF177" s="73">
        <f t="shared" ref="BF177:DY177" si="904">BF178+BF180+BF183</f>
        <v>0</v>
      </c>
      <c r="BG177" s="73">
        <f t="shared" si="904"/>
        <v>0</v>
      </c>
      <c r="BH177" s="73">
        <f t="shared" si="904"/>
        <v>0</v>
      </c>
      <c r="BI177" s="73">
        <f t="shared" si="904"/>
        <v>0</v>
      </c>
      <c r="BJ177" s="73">
        <f t="shared" si="904"/>
        <v>0</v>
      </c>
      <c r="BK177" s="73">
        <f t="shared" si="904"/>
        <v>0</v>
      </c>
      <c r="BL177" s="73">
        <f t="shared" si="904"/>
        <v>0</v>
      </c>
      <c r="BM177" s="73">
        <f t="shared" si="904"/>
        <v>0</v>
      </c>
      <c r="BN177" s="73">
        <f t="shared" si="904"/>
        <v>0</v>
      </c>
      <c r="BO177" s="73">
        <f t="shared" si="904"/>
        <v>0</v>
      </c>
      <c r="BP177" s="73">
        <f t="shared" si="904"/>
        <v>0</v>
      </c>
      <c r="BQ177" s="73">
        <f t="shared" si="904"/>
        <v>0</v>
      </c>
      <c r="BR177" s="73">
        <f t="shared" si="904"/>
        <v>0</v>
      </c>
      <c r="BS177" s="73">
        <f t="shared" si="904"/>
        <v>0</v>
      </c>
      <c r="BT177" s="73">
        <f t="shared" si="904"/>
        <v>0</v>
      </c>
      <c r="BU177" s="73">
        <f t="shared" si="904"/>
        <v>0</v>
      </c>
      <c r="BV177" s="73">
        <f t="shared" si="904"/>
        <v>0</v>
      </c>
      <c r="BW177" s="73">
        <f t="shared" si="904"/>
        <v>0</v>
      </c>
      <c r="BX177" s="73">
        <f t="shared" si="904"/>
        <v>0</v>
      </c>
      <c r="BY177" s="73">
        <f t="shared" si="904"/>
        <v>0</v>
      </c>
      <c r="BZ177" s="73">
        <f t="shared" si="904"/>
        <v>0</v>
      </c>
      <c r="CA177" s="73">
        <f t="shared" si="904"/>
        <v>0</v>
      </c>
      <c r="CB177" s="73">
        <f t="shared" si="904"/>
        <v>0</v>
      </c>
      <c r="CC177" s="73">
        <f t="shared" si="904"/>
        <v>0</v>
      </c>
      <c r="CD177" s="73">
        <f t="shared" si="904"/>
        <v>0</v>
      </c>
      <c r="CE177" s="73">
        <f t="shared" si="904"/>
        <v>0</v>
      </c>
      <c r="CF177" s="73">
        <f t="shared" si="904"/>
        <v>0</v>
      </c>
      <c r="CG177" s="73">
        <f t="shared" si="904"/>
        <v>0</v>
      </c>
      <c r="CH177" s="73">
        <f t="shared" si="904"/>
        <v>0</v>
      </c>
      <c r="CI177" s="73">
        <f t="shared" si="904"/>
        <v>0</v>
      </c>
      <c r="CJ177" s="73">
        <f t="shared" si="904"/>
        <v>0</v>
      </c>
      <c r="CK177" s="73">
        <f t="shared" si="904"/>
        <v>0</v>
      </c>
      <c r="CL177" s="73">
        <f t="shared" si="904"/>
        <v>0</v>
      </c>
      <c r="CM177" s="73">
        <f t="shared" si="904"/>
        <v>0</v>
      </c>
      <c r="CN177" s="73">
        <f t="shared" si="904"/>
        <v>0</v>
      </c>
      <c r="CO177" s="73">
        <f t="shared" si="904"/>
        <v>0</v>
      </c>
      <c r="CP177" s="73">
        <f t="shared" si="904"/>
        <v>0</v>
      </c>
      <c r="CQ177" s="73">
        <f t="shared" si="904"/>
        <v>0</v>
      </c>
      <c r="CR177" s="73">
        <f t="shared" si="904"/>
        <v>0</v>
      </c>
      <c r="CS177" s="73">
        <f t="shared" si="904"/>
        <v>0</v>
      </c>
      <c r="CT177" s="73">
        <f t="shared" si="904"/>
        <v>0</v>
      </c>
      <c r="CU177" s="73">
        <f t="shared" si="904"/>
        <v>0</v>
      </c>
      <c r="CV177" s="73">
        <f t="shared" si="904"/>
        <v>0</v>
      </c>
      <c r="CW177" s="73">
        <f t="shared" si="904"/>
        <v>0</v>
      </c>
      <c r="CX177" s="73">
        <f t="shared" si="904"/>
        <v>0</v>
      </c>
      <c r="CY177" s="73">
        <f t="shared" si="904"/>
        <v>0</v>
      </c>
      <c r="CZ177" s="73">
        <f t="shared" si="904"/>
        <v>0</v>
      </c>
      <c r="DA177" s="73">
        <f t="shared" si="904"/>
        <v>0</v>
      </c>
      <c r="DB177" s="73">
        <f t="shared" si="904"/>
        <v>0</v>
      </c>
      <c r="DC177" s="73">
        <f t="shared" si="904"/>
        <v>0</v>
      </c>
      <c r="DD177" s="73">
        <f t="shared" si="904"/>
        <v>0</v>
      </c>
      <c r="DE177" s="73">
        <f t="shared" si="904"/>
        <v>0</v>
      </c>
      <c r="DF177" s="73">
        <f t="shared" si="904"/>
        <v>0</v>
      </c>
      <c r="DG177" s="73">
        <f t="shared" si="904"/>
        <v>0</v>
      </c>
      <c r="DH177" s="73">
        <f t="shared" si="904"/>
        <v>0</v>
      </c>
      <c r="DI177" s="73">
        <f t="shared" si="904"/>
        <v>0</v>
      </c>
      <c r="DJ177" s="73">
        <f t="shared" si="904"/>
        <v>0</v>
      </c>
      <c r="DK177" s="73">
        <f t="shared" si="904"/>
        <v>0</v>
      </c>
      <c r="DL177" s="73">
        <f t="shared" si="904"/>
        <v>0</v>
      </c>
      <c r="DM177" s="73">
        <f t="shared" si="904"/>
        <v>0</v>
      </c>
      <c r="DN177" s="73">
        <f t="shared" si="904"/>
        <v>0</v>
      </c>
      <c r="DO177" s="73">
        <f t="shared" si="904"/>
        <v>0</v>
      </c>
      <c r="DP177" s="73">
        <f t="shared" si="904"/>
        <v>0</v>
      </c>
      <c r="DQ177" s="73">
        <f t="shared" si="904"/>
        <v>0</v>
      </c>
      <c r="DR177" s="73">
        <f t="shared" si="904"/>
        <v>0</v>
      </c>
      <c r="DS177" s="73">
        <f t="shared" si="904"/>
        <v>0</v>
      </c>
      <c r="DT177" s="73">
        <f t="shared" si="904"/>
        <v>0</v>
      </c>
      <c r="DU177" s="73">
        <f t="shared" si="904"/>
        <v>0</v>
      </c>
      <c r="DV177" s="73">
        <f t="shared" si="904"/>
        <v>0</v>
      </c>
      <c r="DW177" s="73">
        <f t="shared" si="904"/>
        <v>0</v>
      </c>
      <c r="DX177" s="73">
        <f t="shared" si="904"/>
        <v>0</v>
      </c>
      <c r="DY177" s="73">
        <f t="shared" si="904"/>
        <v>0</v>
      </c>
      <c r="DZ177" s="73"/>
      <c r="EA177" s="82"/>
    </row>
    <row r="178" ht="21.75" customHeight="1">
      <c r="A178" s="64"/>
      <c r="B178" s="70"/>
      <c r="C178" s="71"/>
      <c r="D178" s="71"/>
      <c r="E178" s="71"/>
      <c r="F178" s="78" t="s">
        <v>46</v>
      </c>
      <c r="G178" s="73"/>
      <c r="H178" s="73"/>
      <c r="I178" s="73"/>
      <c r="J178" s="73"/>
      <c r="K178" s="73"/>
      <c r="L178" s="73"/>
      <c r="M178" s="79">
        <f t="shared" ref="M178:O178" si="905">M179</f>
        <v>0</v>
      </c>
      <c r="N178" s="79">
        <f t="shared" si="905"/>
        <v>0</v>
      </c>
      <c r="O178" s="79">
        <f t="shared" si="905"/>
        <v>0</v>
      </c>
      <c r="P178" s="73"/>
      <c r="Q178" s="73"/>
      <c r="R178" s="73"/>
      <c r="S178" s="79">
        <f t="shared" ref="S178:U178" si="906">S179</f>
        <v>0</v>
      </c>
      <c r="T178" s="79">
        <f t="shared" si="906"/>
        <v>0</v>
      </c>
      <c r="U178" s="79">
        <f t="shared" si="906"/>
        <v>0</v>
      </c>
      <c r="V178" s="73"/>
      <c r="W178" s="73"/>
      <c r="X178" s="73"/>
      <c r="Y178" s="79">
        <f t="shared" ref="Y178:AA178" si="907">Y179</f>
        <v>0</v>
      </c>
      <c r="Z178" s="79">
        <f t="shared" si="907"/>
        <v>0</v>
      </c>
      <c r="AA178" s="79">
        <f t="shared" si="907"/>
        <v>0</v>
      </c>
      <c r="AB178" s="73"/>
      <c r="AC178" s="73"/>
      <c r="AD178" s="73"/>
      <c r="AE178" s="79">
        <f t="shared" ref="AE178:AG178" si="908">M178+S178+Y178</f>
        <v>0</v>
      </c>
      <c r="AF178" s="79">
        <f t="shared" si="908"/>
        <v>0</v>
      </c>
      <c r="AG178" s="79">
        <f t="shared" si="908"/>
        <v>0</v>
      </c>
      <c r="AH178" s="73"/>
      <c r="AI178" s="73"/>
      <c r="AJ178" s="73"/>
      <c r="AK178" s="79">
        <f t="shared" ref="AK178:AM178" si="909">AK179</f>
        <v>1276.82899</v>
      </c>
      <c r="AL178" s="79">
        <f t="shared" si="909"/>
        <v>0</v>
      </c>
      <c r="AM178" s="79">
        <f t="shared" si="909"/>
        <v>1276.82899</v>
      </c>
      <c r="AN178" s="73"/>
      <c r="AO178" s="73"/>
      <c r="AP178" s="73"/>
      <c r="AQ178" s="79">
        <f t="shared" ref="AQ178:AS178" si="910">AE178+AK178</f>
        <v>1276.82899</v>
      </c>
      <c r="AR178" s="79">
        <f t="shared" si="910"/>
        <v>0</v>
      </c>
      <c r="AS178" s="79">
        <f t="shared" si="910"/>
        <v>1276.82899</v>
      </c>
      <c r="AT178" s="73"/>
      <c r="AU178" s="73"/>
      <c r="AV178" s="73"/>
      <c r="AW178" s="79">
        <v>0.0</v>
      </c>
      <c r="AX178" s="79">
        <v>0.0</v>
      </c>
      <c r="AY178" s="79">
        <v>0.0</v>
      </c>
      <c r="AZ178" s="73"/>
      <c r="BA178" s="73"/>
      <c r="BB178" s="73"/>
      <c r="BC178" s="79">
        <f t="shared" ref="BC178:BE178" si="911">AQ178+AW178</f>
        <v>1276.82899</v>
      </c>
      <c r="BD178" s="79">
        <f t="shared" si="911"/>
        <v>0</v>
      </c>
      <c r="BE178" s="79">
        <f t="shared" si="911"/>
        <v>1276.82899</v>
      </c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3"/>
      <c r="CO178" s="73"/>
      <c r="CP178" s="73"/>
      <c r="CQ178" s="73"/>
      <c r="CR178" s="73"/>
      <c r="CS178" s="73"/>
      <c r="CT178" s="73"/>
      <c r="CU178" s="73"/>
      <c r="CV178" s="73"/>
      <c r="CW178" s="73"/>
      <c r="CX178" s="73"/>
      <c r="CY178" s="73"/>
      <c r="CZ178" s="73"/>
      <c r="DA178" s="73"/>
      <c r="DB178" s="73"/>
      <c r="DC178" s="73"/>
      <c r="DD178" s="73"/>
      <c r="DE178" s="73"/>
      <c r="DF178" s="73"/>
      <c r="DG178" s="73"/>
      <c r="DH178" s="73"/>
      <c r="DI178" s="73"/>
      <c r="DJ178" s="73"/>
      <c r="DK178" s="73"/>
      <c r="DL178" s="73"/>
      <c r="DM178" s="73"/>
      <c r="DN178" s="73"/>
      <c r="DO178" s="73"/>
      <c r="DP178" s="73"/>
      <c r="DQ178" s="73"/>
      <c r="DR178" s="73"/>
      <c r="DS178" s="73"/>
      <c r="DT178" s="73"/>
      <c r="DU178" s="74"/>
      <c r="DV178" s="74"/>
      <c r="DW178" s="72"/>
      <c r="DX178" s="72"/>
      <c r="DY178" s="72"/>
      <c r="DZ178" s="75"/>
      <c r="EA178" s="82"/>
    </row>
    <row r="179" ht="21.75" customHeight="1">
      <c r="A179" s="64"/>
      <c r="B179" s="70"/>
      <c r="C179" s="71"/>
      <c r="D179" s="71"/>
      <c r="E179" s="71"/>
      <c r="F179" s="81" t="s">
        <v>47</v>
      </c>
      <c r="G179" s="73"/>
      <c r="H179" s="73"/>
      <c r="I179" s="73"/>
      <c r="J179" s="73"/>
      <c r="K179" s="73"/>
      <c r="L179" s="73"/>
      <c r="M179" s="73">
        <v>0.0</v>
      </c>
      <c r="N179" s="73">
        <v>0.0</v>
      </c>
      <c r="O179" s="73">
        <v>0.0</v>
      </c>
      <c r="P179" s="73"/>
      <c r="Q179" s="73"/>
      <c r="R179" s="73"/>
      <c r="S179" s="73">
        <v>0.0</v>
      </c>
      <c r="T179" s="73">
        <v>0.0</v>
      </c>
      <c r="U179" s="73">
        <v>0.0</v>
      </c>
      <c r="V179" s="73"/>
      <c r="W179" s="73"/>
      <c r="X179" s="73"/>
      <c r="Y179" s="73">
        <v>0.0</v>
      </c>
      <c r="Z179" s="73">
        <v>0.0</v>
      </c>
      <c r="AA179" s="73">
        <v>0.0</v>
      </c>
      <c r="AB179" s="73"/>
      <c r="AC179" s="73"/>
      <c r="AD179" s="73"/>
      <c r="AE179" s="73">
        <f t="shared" ref="AE179:AG179" si="912">M179+S179+Y179</f>
        <v>0</v>
      </c>
      <c r="AF179" s="73">
        <f t="shared" si="912"/>
        <v>0</v>
      </c>
      <c r="AG179" s="73">
        <f t="shared" si="912"/>
        <v>0</v>
      </c>
      <c r="AH179" s="73"/>
      <c r="AI179" s="73"/>
      <c r="AJ179" s="73"/>
      <c r="AK179" s="73">
        <f>AL179+AM179</f>
        <v>1276.82899</v>
      </c>
      <c r="AL179" s="73">
        <v>0.0</v>
      </c>
      <c r="AM179" s="73">
        <v>1276.82899</v>
      </c>
      <c r="AN179" s="73"/>
      <c r="AO179" s="73"/>
      <c r="AP179" s="73"/>
      <c r="AQ179" s="73">
        <f t="shared" ref="AQ179:AS179" si="913">AE179+AK179</f>
        <v>1276.82899</v>
      </c>
      <c r="AR179" s="73">
        <f t="shared" si="913"/>
        <v>0</v>
      </c>
      <c r="AS179" s="73">
        <f t="shared" si="913"/>
        <v>1276.82899</v>
      </c>
      <c r="AT179" s="73"/>
      <c r="AU179" s="73"/>
      <c r="AV179" s="73"/>
      <c r="AW179" s="73">
        <v>0.0</v>
      </c>
      <c r="AX179" s="73">
        <v>0.0</v>
      </c>
      <c r="AY179" s="73">
        <v>0.0</v>
      </c>
      <c r="AZ179" s="73"/>
      <c r="BA179" s="73"/>
      <c r="BB179" s="73"/>
      <c r="BC179" s="73">
        <f t="shared" ref="BC179:BE179" si="914">AQ179+AW179</f>
        <v>1276.82899</v>
      </c>
      <c r="BD179" s="73">
        <f t="shared" si="914"/>
        <v>0</v>
      </c>
      <c r="BE179" s="73">
        <f t="shared" si="914"/>
        <v>1276.82899</v>
      </c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3"/>
      <c r="CO179" s="73"/>
      <c r="CP179" s="73"/>
      <c r="CQ179" s="73"/>
      <c r="CR179" s="73"/>
      <c r="CS179" s="73"/>
      <c r="CT179" s="73"/>
      <c r="CU179" s="73"/>
      <c r="CV179" s="73"/>
      <c r="CW179" s="73"/>
      <c r="CX179" s="73"/>
      <c r="CY179" s="73"/>
      <c r="CZ179" s="73"/>
      <c r="DA179" s="73"/>
      <c r="DB179" s="73"/>
      <c r="DC179" s="73"/>
      <c r="DD179" s="73"/>
      <c r="DE179" s="73"/>
      <c r="DF179" s="73"/>
      <c r="DG179" s="73"/>
      <c r="DH179" s="73"/>
      <c r="DI179" s="73"/>
      <c r="DJ179" s="73"/>
      <c r="DK179" s="73"/>
      <c r="DL179" s="73"/>
      <c r="DM179" s="73"/>
      <c r="DN179" s="73"/>
      <c r="DO179" s="73"/>
      <c r="DP179" s="73"/>
      <c r="DQ179" s="73"/>
      <c r="DR179" s="73"/>
      <c r="DS179" s="73"/>
      <c r="DT179" s="73"/>
      <c r="DU179" s="74"/>
      <c r="DV179" s="74"/>
      <c r="DW179" s="72"/>
      <c r="DX179" s="72"/>
      <c r="DY179" s="72"/>
      <c r="DZ179" s="75"/>
      <c r="EA179" s="82"/>
    </row>
    <row r="180" ht="21.75" customHeight="1">
      <c r="A180" s="64"/>
      <c r="B180" s="70"/>
      <c r="C180" s="71"/>
      <c r="D180" s="71"/>
      <c r="E180" s="71"/>
      <c r="F180" s="78" t="s">
        <v>48</v>
      </c>
      <c r="G180" s="73"/>
      <c r="H180" s="73"/>
      <c r="I180" s="73"/>
      <c r="J180" s="73"/>
      <c r="K180" s="73"/>
      <c r="L180" s="73"/>
      <c r="M180" s="79">
        <f t="shared" ref="M180:O180" si="915">M181+M182</f>
        <v>9490.48864</v>
      </c>
      <c r="N180" s="79">
        <f t="shared" si="915"/>
        <v>0</v>
      </c>
      <c r="O180" s="79">
        <f t="shared" si="915"/>
        <v>9490.48864</v>
      </c>
      <c r="P180" s="79"/>
      <c r="Q180" s="79"/>
      <c r="R180" s="79"/>
      <c r="S180" s="79">
        <f t="shared" ref="S180:U180" si="916">S181+S182</f>
        <v>7517</v>
      </c>
      <c r="T180" s="79">
        <f t="shared" si="916"/>
        <v>0</v>
      </c>
      <c r="U180" s="79">
        <f t="shared" si="916"/>
        <v>7517</v>
      </c>
      <c r="V180" s="79"/>
      <c r="W180" s="79"/>
      <c r="X180" s="79"/>
      <c r="Y180" s="79">
        <f t="shared" ref="Y180:AA180" si="917">Y181+Y182</f>
        <v>6355</v>
      </c>
      <c r="Z180" s="79">
        <f t="shared" si="917"/>
        <v>0</v>
      </c>
      <c r="AA180" s="79">
        <f t="shared" si="917"/>
        <v>6355</v>
      </c>
      <c r="AB180" s="79"/>
      <c r="AC180" s="79"/>
      <c r="AD180" s="79"/>
      <c r="AE180" s="79">
        <f t="shared" ref="AE180:AG180" si="918">M180+S180+Y180</f>
        <v>23362.48864</v>
      </c>
      <c r="AF180" s="79">
        <f t="shared" si="918"/>
        <v>0</v>
      </c>
      <c r="AG180" s="79">
        <f t="shared" si="918"/>
        <v>23362.48864</v>
      </c>
      <c r="AH180" s="73"/>
      <c r="AI180" s="73"/>
      <c r="AJ180" s="73"/>
      <c r="AK180" s="79">
        <f t="shared" ref="AK180:AM180" si="919">AK181+AK182</f>
        <v>5590.34381</v>
      </c>
      <c r="AL180" s="79">
        <f t="shared" si="919"/>
        <v>0</v>
      </c>
      <c r="AM180" s="79">
        <f t="shared" si="919"/>
        <v>5590.34381</v>
      </c>
      <c r="AN180" s="73"/>
      <c r="AO180" s="73"/>
      <c r="AP180" s="73"/>
      <c r="AQ180" s="79">
        <f t="shared" ref="AQ180:AS180" si="920">AE180+AK180</f>
        <v>28952.83245</v>
      </c>
      <c r="AR180" s="79">
        <f t="shared" si="920"/>
        <v>0</v>
      </c>
      <c r="AS180" s="79">
        <f t="shared" si="920"/>
        <v>28952.83245</v>
      </c>
      <c r="AT180" s="73"/>
      <c r="AU180" s="73"/>
      <c r="AV180" s="73"/>
      <c r="AW180" s="79">
        <f t="shared" ref="AW180:AY180" si="921">AW181+AW182</f>
        <v>5843.60505</v>
      </c>
      <c r="AX180" s="79">
        <f t="shared" si="921"/>
        <v>0</v>
      </c>
      <c r="AY180" s="79">
        <f t="shared" si="921"/>
        <v>5843.60505</v>
      </c>
      <c r="AZ180" s="73"/>
      <c r="BA180" s="73"/>
      <c r="BB180" s="73"/>
      <c r="BC180" s="79">
        <f t="shared" ref="BC180:BE180" si="922">AQ180+AW180</f>
        <v>34796.4375</v>
      </c>
      <c r="BD180" s="79">
        <f t="shared" si="922"/>
        <v>0</v>
      </c>
      <c r="BE180" s="79">
        <f t="shared" si="922"/>
        <v>34796.4375</v>
      </c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3"/>
      <c r="CO180" s="73"/>
      <c r="CP180" s="73"/>
      <c r="CQ180" s="73"/>
      <c r="CR180" s="73"/>
      <c r="CS180" s="73"/>
      <c r="CT180" s="73"/>
      <c r="CU180" s="73"/>
      <c r="CV180" s="73"/>
      <c r="CW180" s="73"/>
      <c r="CX180" s="73"/>
      <c r="CY180" s="73"/>
      <c r="CZ180" s="73"/>
      <c r="DA180" s="73"/>
      <c r="DB180" s="73"/>
      <c r="DC180" s="73"/>
      <c r="DD180" s="73"/>
      <c r="DE180" s="73"/>
      <c r="DF180" s="73"/>
      <c r="DG180" s="73"/>
      <c r="DH180" s="73"/>
      <c r="DI180" s="73"/>
      <c r="DJ180" s="73"/>
      <c r="DK180" s="73"/>
      <c r="DL180" s="73"/>
      <c r="DM180" s="73"/>
      <c r="DN180" s="73"/>
      <c r="DO180" s="73"/>
      <c r="DP180" s="73"/>
      <c r="DQ180" s="73"/>
      <c r="DR180" s="73"/>
      <c r="DS180" s="73"/>
      <c r="DT180" s="73"/>
      <c r="DU180" s="74"/>
      <c r="DV180" s="74"/>
      <c r="DW180" s="72"/>
      <c r="DX180" s="72"/>
      <c r="DY180" s="72"/>
      <c r="DZ180" s="75"/>
      <c r="EA180" s="82"/>
    </row>
    <row r="181" ht="21.75" customHeight="1">
      <c r="A181" s="64"/>
      <c r="B181" s="70"/>
      <c r="C181" s="71"/>
      <c r="D181" s="71"/>
      <c r="E181" s="71"/>
      <c r="F181" s="81" t="s">
        <v>47</v>
      </c>
      <c r="G181" s="73"/>
      <c r="H181" s="73"/>
      <c r="I181" s="73"/>
      <c r="J181" s="73"/>
      <c r="K181" s="73"/>
      <c r="L181" s="73"/>
      <c r="M181" s="73">
        <f>N181+O181</f>
        <v>9490.48864</v>
      </c>
      <c r="N181" s="73">
        <v>0.0</v>
      </c>
      <c r="O181" s="73">
        <v>9490.48864</v>
      </c>
      <c r="P181" s="73"/>
      <c r="Q181" s="73"/>
      <c r="R181" s="73"/>
      <c r="S181" s="73">
        <v>7628.78486</v>
      </c>
      <c r="T181" s="73">
        <v>0.0</v>
      </c>
      <c r="U181" s="73">
        <v>7628.78486</v>
      </c>
      <c r="V181" s="73"/>
      <c r="W181" s="73"/>
      <c r="X181" s="73"/>
      <c r="Y181" s="73">
        <v>6485.97489</v>
      </c>
      <c r="Z181" s="73">
        <v>0.0</v>
      </c>
      <c r="AA181" s="73">
        <v>6485.97489</v>
      </c>
      <c r="AB181" s="73"/>
      <c r="AC181" s="73"/>
      <c r="AD181" s="73"/>
      <c r="AE181" s="73">
        <f t="shared" ref="AE181:AG181" si="923">M181+S181+Y181</f>
        <v>23605.24839</v>
      </c>
      <c r="AF181" s="73">
        <f t="shared" si="923"/>
        <v>0</v>
      </c>
      <c r="AG181" s="73">
        <f t="shared" si="923"/>
        <v>23605.24839</v>
      </c>
      <c r="AH181" s="73"/>
      <c r="AI181" s="73"/>
      <c r="AJ181" s="73"/>
      <c r="AK181" s="73">
        <v>5646.59952</v>
      </c>
      <c r="AL181" s="73">
        <v>0.0</v>
      </c>
      <c r="AM181" s="73">
        <v>5646.59952</v>
      </c>
      <c r="AN181" s="73"/>
      <c r="AO181" s="73"/>
      <c r="AP181" s="73"/>
      <c r="AQ181" s="73">
        <f t="shared" ref="AQ181:AS181" si="924">AE181+AK181</f>
        <v>29251.84791</v>
      </c>
      <c r="AR181" s="73">
        <f t="shared" si="924"/>
        <v>0</v>
      </c>
      <c r="AS181" s="73">
        <f t="shared" si="924"/>
        <v>29251.84791</v>
      </c>
      <c r="AT181" s="73"/>
      <c r="AU181" s="73"/>
      <c r="AV181" s="73"/>
      <c r="AW181" s="73">
        <f>2869.02468+3158.6823</f>
        <v>6027.70698</v>
      </c>
      <c r="AX181" s="73">
        <v>0.0</v>
      </c>
      <c r="AY181" s="73">
        <f>2869.02468+3158.6823</f>
        <v>6027.70698</v>
      </c>
      <c r="AZ181" s="73"/>
      <c r="BA181" s="73"/>
      <c r="BB181" s="73"/>
      <c r="BC181" s="73">
        <f t="shared" ref="BC181:BE181" si="925">AQ181+AW181</f>
        <v>35279.55489</v>
      </c>
      <c r="BD181" s="73">
        <f t="shared" si="925"/>
        <v>0</v>
      </c>
      <c r="BE181" s="73">
        <f t="shared" si="925"/>
        <v>35279.55489</v>
      </c>
      <c r="BF181" s="73"/>
      <c r="BG181" s="73"/>
      <c r="BH181" s="73"/>
      <c r="BI181" s="73"/>
      <c r="BJ181" s="73"/>
      <c r="BK181" s="73"/>
      <c r="BL181" s="73"/>
      <c r="BM181" s="73"/>
      <c r="BN181" s="73"/>
      <c r="BO181" s="73"/>
      <c r="BP181" s="73"/>
      <c r="BQ181" s="73"/>
      <c r="BR181" s="73"/>
      <c r="BS181" s="73"/>
      <c r="BT181" s="73"/>
      <c r="BU181" s="73"/>
      <c r="BV181" s="73"/>
      <c r="BW181" s="73"/>
      <c r="BX181" s="73"/>
      <c r="BY181" s="73"/>
      <c r="BZ181" s="73"/>
      <c r="CA181" s="73"/>
      <c r="CB181" s="73"/>
      <c r="CC181" s="73"/>
      <c r="CD181" s="73"/>
      <c r="CE181" s="73"/>
      <c r="CF181" s="73"/>
      <c r="CG181" s="73"/>
      <c r="CH181" s="73"/>
      <c r="CI181" s="73"/>
      <c r="CJ181" s="73"/>
      <c r="CK181" s="73"/>
      <c r="CL181" s="73"/>
      <c r="CM181" s="73"/>
      <c r="CN181" s="73"/>
      <c r="CO181" s="73"/>
      <c r="CP181" s="73"/>
      <c r="CQ181" s="73"/>
      <c r="CR181" s="73"/>
      <c r="CS181" s="73"/>
      <c r="CT181" s="73"/>
      <c r="CU181" s="73"/>
      <c r="CV181" s="73"/>
      <c r="CW181" s="73"/>
      <c r="CX181" s="73"/>
      <c r="CY181" s="73"/>
      <c r="CZ181" s="73"/>
      <c r="DA181" s="73"/>
      <c r="DB181" s="73"/>
      <c r="DC181" s="73"/>
      <c r="DD181" s="73"/>
      <c r="DE181" s="73"/>
      <c r="DF181" s="73"/>
      <c r="DG181" s="73"/>
      <c r="DH181" s="73"/>
      <c r="DI181" s="73"/>
      <c r="DJ181" s="73"/>
      <c r="DK181" s="73"/>
      <c r="DL181" s="73"/>
      <c r="DM181" s="73"/>
      <c r="DN181" s="73"/>
      <c r="DO181" s="73"/>
      <c r="DP181" s="73"/>
      <c r="DQ181" s="73"/>
      <c r="DR181" s="73"/>
      <c r="DS181" s="73"/>
      <c r="DT181" s="73"/>
      <c r="DU181" s="74"/>
      <c r="DV181" s="74"/>
      <c r="DW181" s="72"/>
      <c r="DX181" s="72"/>
      <c r="DY181" s="72"/>
      <c r="DZ181" s="75"/>
      <c r="EA181" s="82" t="s">
        <v>145</v>
      </c>
    </row>
    <row r="182" ht="21.75" customHeight="1">
      <c r="A182" s="64"/>
      <c r="B182" s="70"/>
      <c r="C182" s="71"/>
      <c r="D182" s="71"/>
      <c r="E182" s="71"/>
      <c r="F182" s="81" t="s">
        <v>50</v>
      </c>
      <c r="G182" s="73"/>
      <c r="H182" s="73"/>
      <c r="I182" s="73"/>
      <c r="J182" s="73"/>
      <c r="K182" s="73"/>
      <c r="L182" s="73"/>
      <c r="M182" s="73">
        <v>0.0</v>
      </c>
      <c r="N182" s="73">
        <v>0.0</v>
      </c>
      <c r="O182" s="73">
        <v>0.0</v>
      </c>
      <c r="P182" s="73"/>
      <c r="Q182" s="73"/>
      <c r="R182" s="73"/>
      <c r="S182" s="73">
        <v>-111.78485999999975</v>
      </c>
      <c r="T182" s="73">
        <v>0.0</v>
      </c>
      <c r="U182" s="73">
        <v>-111.78485999999975</v>
      </c>
      <c r="V182" s="73"/>
      <c r="W182" s="73"/>
      <c r="X182" s="73"/>
      <c r="Y182" s="73">
        <v>-130.9748900000004</v>
      </c>
      <c r="Z182" s="73">
        <v>0.0</v>
      </c>
      <c r="AA182" s="73">
        <v>-130.9748900000004</v>
      </c>
      <c r="AB182" s="73"/>
      <c r="AC182" s="73"/>
      <c r="AD182" s="73"/>
      <c r="AE182" s="73">
        <f t="shared" ref="AE182:AG182" si="926">M182+S182+Y182</f>
        <v>-242.75975</v>
      </c>
      <c r="AF182" s="73">
        <f t="shared" si="926"/>
        <v>0</v>
      </c>
      <c r="AG182" s="73">
        <f t="shared" si="926"/>
        <v>-242.75975</v>
      </c>
      <c r="AH182" s="73"/>
      <c r="AI182" s="73"/>
      <c r="AJ182" s="73"/>
      <c r="AK182" s="73">
        <v>-56.25570999999945</v>
      </c>
      <c r="AL182" s="73">
        <v>0.0</v>
      </c>
      <c r="AM182" s="73">
        <v>-56.25570999999945</v>
      </c>
      <c r="AN182" s="73"/>
      <c r="AO182" s="73"/>
      <c r="AP182" s="73"/>
      <c r="AQ182" s="73">
        <f t="shared" ref="AQ182:AS182" si="927">AE182+AK182</f>
        <v>-299.01546</v>
      </c>
      <c r="AR182" s="73">
        <f t="shared" si="927"/>
        <v>0</v>
      </c>
      <c r="AS182" s="73">
        <f t="shared" si="927"/>
        <v>-299.01546</v>
      </c>
      <c r="AT182" s="73"/>
      <c r="AU182" s="73"/>
      <c r="AV182" s="73"/>
      <c r="AW182" s="73">
        <v>-184.10193</v>
      </c>
      <c r="AX182" s="73">
        <v>0.0</v>
      </c>
      <c r="AY182" s="73">
        <v>-184.10193</v>
      </c>
      <c r="AZ182" s="73"/>
      <c r="BA182" s="73"/>
      <c r="BB182" s="73"/>
      <c r="BC182" s="73">
        <f t="shared" ref="BC182:BE182" si="928">AQ182+AW182</f>
        <v>-483.11739</v>
      </c>
      <c r="BD182" s="73">
        <f t="shared" si="928"/>
        <v>0</v>
      </c>
      <c r="BE182" s="73">
        <f t="shared" si="928"/>
        <v>-483.11739</v>
      </c>
      <c r="BF182" s="73"/>
      <c r="BG182" s="73"/>
      <c r="BH182" s="73"/>
      <c r="BI182" s="73"/>
      <c r="BJ182" s="73"/>
      <c r="BK182" s="73"/>
      <c r="BL182" s="73"/>
      <c r="BM182" s="73"/>
      <c r="BN182" s="73"/>
      <c r="BO182" s="73"/>
      <c r="BP182" s="73"/>
      <c r="BQ182" s="73"/>
      <c r="BR182" s="73"/>
      <c r="BS182" s="73"/>
      <c r="BT182" s="73"/>
      <c r="BU182" s="73"/>
      <c r="BV182" s="73"/>
      <c r="BW182" s="73"/>
      <c r="BX182" s="73"/>
      <c r="BY182" s="73"/>
      <c r="BZ182" s="73"/>
      <c r="CA182" s="73"/>
      <c r="CB182" s="73"/>
      <c r="CC182" s="73"/>
      <c r="CD182" s="73"/>
      <c r="CE182" s="73"/>
      <c r="CF182" s="73"/>
      <c r="CG182" s="73"/>
      <c r="CH182" s="73"/>
      <c r="CI182" s="73"/>
      <c r="CJ182" s="73"/>
      <c r="CK182" s="73"/>
      <c r="CL182" s="73"/>
      <c r="CM182" s="73"/>
      <c r="CN182" s="73"/>
      <c r="CO182" s="73"/>
      <c r="CP182" s="73"/>
      <c r="CQ182" s="73"/>
      <c r="CR182" s="73"/>
      <c r="CS182" s="73"/>
      <c r="CT182" s="73"/>
      <c r="CU182" s="73"/>
      <c r="CV182" s="73"/>
      <c r="CW182" s="73"/>
      <c r="CX182" s="73"/>
      <c r="CY182" s="73"/>
      <c r="CZ182" s="73"/>
      <c r="DA182" s="73"/>
      <c r="DB182" s="73"/>
      <c r="DC182" s="73"/>
      <c r="DD182" s="73"/>
      <c r="DE182" s="73"/>
      <c r="DF182" s="73"/>
      <c r="DG182" s="73"/>
      <c r="DH182" s="73"/>
      <c r="DI182" s="73"/>
      <c r="DJ182" s="73"/>
      <c r="DK182" s="73"/>
      <c r="DL182" s="73"/>
      <c r="DM182" s="73"/>
      <c r="DN182" s="73"/>
      <c r="DO182" s="73"/>
      <c r="DP182" s="73"/>
      <c r="DQ182" s="73"/>
      <c r="DR182" s="73"/>
      <c r="DS182" s="73"/>
      <c r="DT182" s="73"/>
      <c r="DU182" s="74"/>
      <c r="DV182" s="74"/>
      <c r="DW182" s="72"/>
      <c r="DX182" s="72"/>
      <c r="DY182" s="72"/>
      <c r="DZ182" s="75"/>
      <c r="EA182" s="82"/>
    </row>
    <row r="183" ht="21.75" customHeight="1">
      <c r="A183" s="64"/>
      <c r="B183" s="70"/>
      <c r="C183" s="71"/>
      <c r="D183" s="71"/>
      <c r="E183" s="71"/>
      <c r="F183" s="78" t="s">
        <v>51</v>
      </c>
      <c r="G183" s="73"/>
      <c r="H183" s="73"/>
      <c r="I183" s="73"/>
      <c r="J183" s="73"/>
      <c r="K183" s="73"/>
      <c r="L183" s="73"/>
      <c r="M183" s="79">
        <f t="shared" ref="M183:O183" si="929">M184+M185</f>
        <v>30.66217</v>
      </c>
      <c r="N183" s="79">
        <f t="shared" si="929"/>
        <v>0</v>
      </c>
      <c r="O183" s="79">
        <f t="shared" si="929"/>
        <v>30.66217</v>
      </c>
      <c r="P183" s="73"/>
      <c r="Q183" s="73"/>
      <c r="R183" s="73"/>
      <c r="S183" s="79">
        <f t="shared" ref="S183:U183" si="930">S184+S185</f>
        <v>579.55</v>
      </c>
      <c r="T183" s="79">
        <f t="shared" si="930"/>
        <v>0</v>
      </c>
      <c r="U183" s="79">
        <f t="shared" si="930"/>
        <v>579.55</v>
      </c>
      <c r="V183" s="73"/>
      <c r="W183" s="73"/>
      <c r="X183" s="73"/>
      <c r="Y183" s="79">
        <f t="shared" ref="Y183:AA183" si="931">Y184+Y185</f>
        <v>17081.15993</v>
      </c>
      <c r="Z183" s="79">
        <f t="shared" si="931"/>
        <v>0</v>
      </c>
      <c r="AA183" s="79">
        <f t="shared" si="931"/>
        <v>17081.15993</v>
      </c>
      <c r="AB183" s="73"/>
      <c r="AC183" s="73"/>
      <c r="AD183" s="73"/>
      <c r="AE183" s="79">
        <f t="shared" ref="AE183:AG183" si="932">M183+S183+Y183</f>
        <v>17691.3721</v>
      </c>
      <c r="AF183" s="79">
        <f t="shared" si="932"/>
        <v>0</v>
      </c>
      <c r="AG183" s="79">
        <f t="shared" si="932"/>
        <v>17691.3721</v>
      </c>
      <c r="AH183" s="73"/>
      <c r="AI183" s="73"/>
      <c r="AJ183" s="73"/>
      <c r="AK183" s="79">
        <f t="shared" ref="AK183:AM183" si="933">AK184+AK185</f>
        <v>10526.49949</v>
      </c>
      <c r="AL183" s="79">
        <f t="shared" si="933"/>
        <v>0</v>
      </c>
      <c r="AM183" s="79">
        <f t="shared" si="933"/>
        <v>10526.49949</v>
      </c>
      <c r="AN183" s="73"/>
      <c r="AO183" s="73"/>
      <c r="AP183" s="73"/>
      <c r="AQ183" s="79">
        <f t="shared" ref="AQ183:AS183" si="934">AE183+AK183</f>
        <v>28217.87159</v>
      </c>
      <c r="AR183" s="79">
        <f t="shared" si="934"/>
        <v>0</v>
      </c>
      <c r="AS183" s="79">
        <f t="shared" si="934"/>
        <v>28217.87159</v>
      </c>
      <c r="AT183" s="73"/>
      <c r="AU183" s="73"/>
      <c r="AV183" s="73"/>
      <c r="AW183" s="79">
        <f t="shared" ref="AW183:AY183" si="935">AW184+AW185</f>
        <v>5379.38041</v>
      </c>
      <c r="AX183" s="79">
        <f t="shared" si="935"/>
        <v>0</v>
      </c>
      <c r="AY183" s="79">
        <f t="shared" si="935"/>
        <v>5379.38041</v>
      </c>
      <c r="AZ183" s="73"/>
      <c r="BA183" s="73"/>
      <c r="BB183" s="73"/>
      <c r="BC183" s="79">
        <f t="shared" ref="BC183:BE183" si="936">AQ183+AW183</f>
        <v>33597.252</v>
      </c>
      <c r="BD183" s="79">
        <f t="shared" si="936"/>
        <v>0</v>
      </c>
      <c r="BE183" s="79">
        <f t="shared" si="936"/>
        <v>33597.252</v>
      </c>
      <c r="BF183" s="73">
        <f t="shared" ref="BF183:DY183" si="937">BF185+BF186+BF187</f>
        <v>0</v>
      </c>
      <c r="BG183" s="73">
        <f t="shared" si="937"/>
        <v>0</v>
      </c>
      <c r="BH183" s="73">
        <f t="shared" si="937"/>
        <v>0</v>
      </c>
      <c r="BI183" s="73">
        <f t="shared" si="937"/>
        <v>0</v>
      </c>
      <c r="BJ183" s="73">
        <f t="shared" si="937"/>
        <v>0</v>
      </c>
      <c r="BK183" s="73">
        <f t="shared" si="937"/>
        <v>0</v>
      </c>
      <c r="BL183" s="73">
        <f t="shared" si="937"/>
        <v>0</v>
      </c>
      <c r="BM183" s="73">
        <f t="shared" si="937"/>
        <v>0</v>
      </c>
      <c r="BN183" s="73">
        <f t="shared" si="937"/>
        <v>0</v>
      </c>
      <c r="BO183" s="73">
        <f t="shared" si="937"/>
        <v>0</v>
      </c>
      <c r="BP183" s="73">
        <f t="shared" si="937"/>
        <v>0</v>
      </c>
      <c r="BQ183" s="73">
        <f t="shared" si="937"/>
        <v>0</v>
      </c>
      <c r="BR183" s="73">
        <f t="shared" si="937"/>
        <v>0</v>
      </c>
      <c r="BS183" s="73">
        <f t="shared" si="937"/>
        <v>0</v>
      </c>
      <c r="BT183" s="73">
        <f t="shared" si="937"/>
        <v>0</v>
      </c>
      <c r="BU183" s="73">
        <f t="shared" si="937"/>
        <v>0</v>
      </c>
      <c r="BV183" s="73">
        <f t="shared" si="937"/>
        <v>0</v>
      </c>
      <c r="BW183" s="73">
        <f t="shared" si="937"/>
        <v>0</v>
      </c>
      <c r="BX183" s="73">
        <f t="shared" si="937"/>
        <v>0</v>
      </c>
      <c r="BY183" s="73">
        <f t="shared" si="937"/>
        <v>0</v>
      </c>
      <c r="BZ183" s="73">
        <f t="shared" si="937"/>
        <v>0</v>
      </c>
      <c r="CA183" s="73">
        <f t="shared" si="937"/>
        <v>0</v>
      </c>
      <c r="CB183" s="73">
        <f t="shared" si="937"/>
        <v>0</v>
      </c>
      <c r="CC183" s="73">
        <f t="shared" si="937"/>
        <v>0</v>
      </c>
      <c r="CD183" s="73">
        <f t="shared" si="937"/>
        <v>0</v>
      </c>
      <c r="CE183" s="73">
        <f t="shared" si="937"/>
        <v>0</v>
      </c>
      <c r="CF183" s="73">
        <f t="shared" si="937"/>
        <v>0</v>
      </c>
      <c r="CG183" s="73">
        <f t="shared" si="937"/>
        <v>0</v>
      </c>
      <c r="CH183" s="73">
        <f t="shared" si="937"/>
        <v>0</v>
      </c>
      <c r="CI183" s="73">
        <f t="shared" si="937"/>
        <v>0</v>
      </c>
      <c r="CJ183" s="73">
        <f t="shared" si="937"/>
        <v>0</v>
      </c>
      <c r="CK183" s="73">
        <f t="shared" si="937"/>
        <v>0</v>
      </c>
      <c r="CL183" s="73">
        <f t="shared" si="937"/>
        <v>0</v>
      </c>
      <c r="CM183" s="73">
        <f t="shared" si="937"/>
        <v>0</v>
      </c>
      <c r="CN183" s="73">
        <f t="shared" si="937"/>
        <v>0</v>
      </c>
      <c r="CO183" s="73">
        <f t="shared" si="937"/>
        <v>0</v>
      </c>
      <c r="CP183" s="73">
        <f t="shared" si="937"/>
        <v>0</v>
      </c>
      <c r="CQ183" s="73">
        <f t="shared" si="937"/>
        <v>0</v>
      </c>
      <c r="CR183" s="73">
        <f t="shared" si="937"/>
        <v>0</v>
      </c>
      <c r="CS183" s="73">
        <f t="shared" si="937"/>
        <v>0</v>
      </c>
      <c r="CT183" s="73">
        <f t="shared" si="937"/>
        <v>0</v>
      </c>
      <c r="CU183" s="73">
        <f t="shared" si="937"/>
        <v>0</v>
      </c>
      <c r="CV183" s="73">
        <f t="shared" si="937"/>
        <v>0</v>
      </c>
      <c r="CW183" s="73">
        <f t="shared" si="937"/>
        <v>0</v>
      </c>
      <c r="CX183" s="73">
        <f t="shared" si="937"/>
        <v>0</v>
      </c>
      <c r="CY183" s="73">
        <f t="shared" si="937"/>
        <v>0</v>
      </c>
      <c r="CZ183" s="73">
        <f t="shared" si="937"/>
        <v>0</v>
      </c>
      <c r="DA183" s="73">
        <f t="shared" si="937"/>
        <v>0</v>
      </c>
      <c r="DB183" s="73">
        <f t="shared" si="937"/>
        <v>0</v>
      </c>
      <c r="DC183" s="73">
        <f t="shared" si="937"/>
        <v>0</v>
      </c>
      <c r="DD183" s="73">
        <f t="shared" si="937"/>
        <v>0</v>
      </c>
      <c r="DE183" s="73">
        <f t="shared" si="937"/>
        <v>0</v>
      </c>
      <c r="DF183" s="73">
        <f t="shared" si="937"/>
        <v>0</v>
      </c>
      <c r="DG183" s="73">
        <f t="shared" si="937"/>
        <v>0</v>
      </c>
      <c r="DH183" s="73">
        <f t="shared" si="937"/>
        <v>0</v>
      </c>
      <c r="DI183" s="73">
        <f t="shared" si="937"/>
        <v>0</v>
      </c>
      <c r="DJ183" s="73">
        <f t="shared" si="937"/>
        <v>0</v>
      </c>
      <c r="DK183" s="73">
        <f t="shared" si="937"/>
        <v>0</v>
      </c>
      <c r="DL183" s="73">
        <f t="shared" si="937"/>
        <v>0</v>
      </c>
      <c r="DM183" s="73">
        <f t="shared" si="937"/>
        <v>0</v>
      </c>
      <c r="DN183" s="73">
        <f t="shared" si="937"/>
        <v>0</v>
      </c>
      <c r="DO183" s="73">
        <f t="shared" si="937"/>
        <v>0</v>
      </c>
      <c r="DP183" s="73">
        <f t="shared" si="937"/>
        <v>0</v>
      </c>
      <c r="DQ183" s="73">
        <f t="shared" si="937"/>
        <v>0</v>
      </c>
      <c r="DR183" s="73">
        <f t="shared" si="937"/>
        <v>0</v>
      </c>
      <c r="DS183" s="73">
        <f t="shared" si="937"/>
        <v>0</v>
      </c>
      <c r="DT183" s="73">
        <f t="shared" si="937"/>
        <v>0</v>
      </c>
      <c r="DU183" s="73">
        <f t="shared" si="937"/>
        <v>0</v>
      </c>
      <c r="DV183" s="73">
        <f t="shared" si="937"/>
        <v>0</v>
      </c>
      <c r="DW183" s="73">
        <f t="shared" si="937"/>
        <v>0</v>
      </c>
      <c r="DX183" s="73">
        <f t="shared" si="937"/>
        <v>0</v>
      </c>
      <c r="DY183" s="73">
        <f t="shared" si="937"/>
        <v>0</v>
      </c>
      <c r="DZ183" s="73"/>
      <c r="EA183" s="82"/>
    </row>
    <row r="184" ht="21.75" customHeight="1">
      <c r="A184" s="64"/>
      <c r="B184" s="70"/>
      <c r="C184" s="71"/>
      <c r="D184" s="71"/>
      <c r="E184" s="71"/>
      <c r="F184" s="81" t="s">
        <v>47</v>
      </c>
      <c r="G184" s="73"/>
      <c r="H184" s="73"/>
      <c r="I184" s="73"/>
      <c r="J184" s="73"/>
      <c r="K184" s="73"/>
      <c r="L184" s="73"/>
      <c r="M184" s="73">
        <v>0.0</v>
      </c>
      <c r="N184" s="73">
        <v>0.0</v>
      </c>
      <c r="O184" s="73">
        <v>0.0</v>
      </c>
      <c r="P184" s="73"/>
      <c r="Q184" s="73"/>
      <c r="R184" s="73"/>
      <c r="S184" s="73">
        <v>0.0</v>
      </c>
      <c r="T184" s="73">
        <v>0.0</v>
      </c>
      <c r="U184" s="73">
        <v>0.0</v>
      </c>
      <c r="V184" s="73"/>
      <c r="W184" s="73"/>
      <c r="X184" s="73"/>
      <c r="Y184" s="73">
        <v>1259.16339</v>
      </c>
      <c r="Z184" s="73">
        <v>0.0</v>
      </c>
      <c r="AA184" s="73">
        <v>1259.16339</v>
      </c>
      <c r="AB184" s="73"/>
      <c r="AC184" s="73"/>
      <c r="AD184" s="73"/>
      <c r="AE184" s="73">
        <f t="shared" ref="AE184:AG184" si="938">M184+S184+Y184</f>
        <v>1259.16339</v>
      </c>
      <c r="AF184" s="73">
        <f t="shared" si="938"/>
        <v>0</v>
      </c>
      <c r="AG184" s="73">
        <f t="shared" si="938"/>
        <v>1259.16339</v>
      </c>
      <c r="AH184" s="73"/>
      <c r="AI184" s="73"/>
      <c r="AJ184" s="73"/>
      <c r="AK184" s="73">
        <v>109.18235</v>
      </c>
      <c r="AL184" s="73">
        <v>0.0</v>
      </c>
      <c r="AM184" s="73">
        <v>109.18235</v>
      </c>
      <c r="AN184" s="73"/>
      <c r="AO184" s="73"/>
      <c r="AP184" s="73"/>
      <c r="AQ184" s="73">
        <f t="shared" ref="AQ184:AS184" si="939">AE184+AK184</f>
        <v>1368.34574</v>
      </c>
      <c r="AR184" s="73">
        <f t="shared" si="939"/>
        <v>0</v>
      </c>
      <c r="AS184" s="73">
        <f t="shared" si="939"/>
        <v>1368.34574</v>
      </c>
      <c r="AT184" s="73"/>
      <c r="AU184" s="73"/>
      <c r="AV184" s="73"/>
      <c r="AW184" s="94">
        <v>-441.15000000000003</v>
      </c>
      <c r="AX184" s="94">
        <v>0.0</v>
      </c>
      <c r="AY184" s="94">
        <v>-441.15000000000003</v>
      </c>
      <c r="AZ184" s="73"/>
      <c r="BA184" s="73"/>
      <c r="BB184" s="73"/>
      <c r="BC184" s="94">
        <f t="shared" ref="BC184:BE184" si="940">AQ184+AW184</f>
        <v>927.19574</v>
      </c>
      <c r="BD184" s="94">
        <f t="shared" si="940"/>
        <v>0</v>
      </c>
      <c r="BE184" s="94">
        <f t="shared" si="940"/>
        <v>927.19574</v>
      </c>
      <c r="BF184" s="73"/>
      <c r="BG184" s="73"/>
      <c r="BH184" s="73"/>
      <c r="BI184" s="73"/>
      <c r="BJ184" s="73"/>
      <c r="BK184" s="73"/>
      <c r="BL184" s="73"/>
      <c r="BM184" s="73"/>
      <c r="BN184" s="73"/>
      <c r="BO184" s="73"/>
      <c r="BP184" s="73"/>
      <c r="BQ184" s="73"/>
      <c r="BR184" s="73"/>
      <c r="BS184" s="73"/>
      <c r="BT184" s="73"/>
      <c r="BU184" s="73"/>
      <c r="BV184" s="73"/>
      <c r="BW184" s="73"/>
      <c r="BX184" s="73"/>
      <c r="BY184" s="73"/>
      <c r="BZ184" s="73"/>
      <c r="CA184" s="73"/>
      <c r="CB184" s="73"/>
      <c r="CC184" s="73"/>
      <c r="CD184" s="73"/>
      <c r="CE184" s="73"/>
      <c r="CF184" s="73"/>
      <c r="CG184" s="73"/>
      <c r="CH184" s="73"/>
      <c r="CI184" s="73"/>
      <c r="CJ184" s="73"/>
      <c r="CK184" s="73"/>
      <c r="CL184" s="73"/>
      <c r="CM184" s="73"/>
      <c r="CN184" s="73"/>
      <c r="CO184" s="73"/>
      <c r="CP184" s="73"/>
      <c r="CQ184" s="73"/>
      <c r="CR184" s="73"/>
      <c r="CS184" s="73"/>
      <c r="CT184" s="73"/>
      <c r="CU184" s="73"/>
      <c r="CV184" s="73"/>
      <c r="CW184" s="73"/>
      <c r="CX184" s="73"/>
      <c r="CY184" s="73"/>
      <c r="CZ184" s="73"/>
      <c r="DA184" s="73"/>
      <c r="DB184" s="73"/>
      <c r="DC184" s="73"/>
      <c r="DD184" s="73"/>
      <c r="DE184" s="73"/>
      <c r="DF184" s="73"/>
      <c r="DG184" s="73"/>
      <c r="DH184" s="73"/>
      <c r="DI184" s="73"/>
      <c r="DJ184" s="73"/>
      <c r="DK184" s="73"/>
      <c r="DL184" s="73"/>
      <c r="DM184" s="73"/>
      <c r="DN184" s="73"/>
      <c r="DO184" s="73"/>
      <c r="DP184" s="73"/>
      <c r="DQ184" s="73"/>
      <c r="DR184" s="73"/>
      <c r="DS184" s="73"/>
      <c r="DT184" s="73"/>
      <c r="DU184" s="73"/>
      <c r="DV184" s="73"/>
      <c r="DW184" s="73"/>
      <c r="DX184" s="73"/>
      <c r="DY184" s="73"/>
      <c r="DZ184" s="73"/>
      <c r="EA184" s="82"/>
    </row>
    <row r="185" ht="21.75" customHeight="1">
      <c r="A185" s="64"/>
      <c r="B185" s="70"/>
      <c r="C185" s="71"/>
      <c r="D185" s="71"/>
      <c r="E185" s="71"/>
      <c r="F185" s="81" t="s">
        <v>52</v>
      </c>
      <c r="G185" s="73"/>
      <c r="H185" s="73"/>
      <c r="I185" s="73"/>
      <c r="J185" s="73"/>
      <c r="K185" s="73"/>
      <c r="L185" s="73"/>
      <c r="M185" s="73">
        <f t="shared" ref="M185:M187" si="944">N185+O185</f>
        <v>30.66217</v>
      </c>
      <c r="N185" s="73">
        <v>0.0</v>
      </c>
      <c r="O185" s="73">
        <v>30.66217</v>
      </c>
      <c r="P185" s="73"/>
      <c r="Q185" s="73"/>
      <c r="R185" s="73"/>
      <c r="S185" s="73">
        <f t="shared" ref="S185:S187" si="945">T185+U185</f>
        <v>579.55</v>
      </c>
      <c r="T185" s="73">
        <v>0.0</v>
      </c>
      <c r="U185" s="73">
        <v>579.55</v>
      </c>
      <c r="V185" s="73"/>
      <c r="W185" s="73"/>
      <c r="X185" s="73"/>
      <c r="Y185" s="73">
        <v>15821.99654</v>
      </c>
      <c r="Z185" s="73">
        <v>0.0</v>
      </c>
      <c r="AA185" s="73">
        <v>15821.99654</v>
      </c>
      <c r="AB185" s="73"/>
      <c r="AC185" s="73"/>
      <c r="AD185" s="73"/>
      <c r="AE185" s="73">
        <f t="shared" ref="AE185:AG185" si="941">M185+S185+Y185</f>
        <v>16432.20871</v>
      </c>
      <c r="AF185" s="73">
        <f t="shared" si="941"/>
        <v>0</v>
      </c>
      <c r="AG185" s="73">
        <f t="shared" si="941"/>
        <v>16432.20871</v>
      </c>
      <c r="AH185" s="73"/>
      <c r="AI185" s="73"/>
      <c r="AJ185" s="73"/>
      <c r="AK185" s="73">
        <v>10417.31714</v>
      </c>
      <c r="AL185" s="73">
        <v>0.0</v>
      </c>
      <c r="AM185" s="73">
        <v>10417.31714</v>
      </c>
      <c r="AN185" s="73"/>
      <c r="AO185" s="73"/>
      <c r="AP185" s="73"/>
      <c r="AQ185" s="73">
        <f t="shared" ref="AQ185:AS185" si="942">AE185+AK185</f>
        <v>26849.52585</v>
      </c>
      <c r="AR185" s="73">
        <f t="shared" si="942"/>
        <v>0</v>
      </c>
      <c r="AS185" s="73">
        <f t="shared" si="942"/>
        <v>26849.52585</v>
      </c>
      <c r="AT185" s="73"/>
      <c r="AU185" s="73"/>
      <c r="AV185" s="73"/>
      <c r="AW185" s="73">
        <f>4721.98041+25.95+1072.6</f>
        <v>5820.53041</v>
      </c>
      <c r="AX185" s="73">
        <v>0.0</v>
      </c>
      <c r="AY185" s="73">
        <f>4721.98041+25.95+1072.6</f>
        <v>5820.53041</v>
      </c>
      <c r="AZ185" s="73"/>
      <c r="BA185" s="73"/>
      <c r="BB185" s="73"/>
      <c r="BC185" s="73">
        <f t="shared" ref="BC185:BE185" si="943">AQ185+AW185</f>
        <v>32670.05626</v>
      </c>
      <c r="BD185" s="73">
        <f t="shared" si="943"/>
        <v>0</v>
      </c>
      <c r="BE185" s="73">
        <f t="shared" si="943"/>
        <v>32670.05626</v>
      </c>
      <c r="BF185" s="73"/>
      <c r="BG185" s="73"/>
      <c r="BH185" s="73"/>
      <c r="BI185" s="73"/>
      <c r="BJ185" s="73"/>
      <c r="BK185" s="73"/>
      <c r="BL185" s="73"/>
      <c r="BM185" s="73"/>
      <c r="BN185" s="73"/>
      <c r="BO185" s="73"/>
      <c r="BP185" s="73"/>
      <c r="BQ185" s="73"/>
      <c r="BR185" s="73"/>
      <c r="BS185" s="73"/>
      <c r="BT185" s="73"/>
      <c r="BU185" s="73"/>
      <c r="BV185" s="73"/>
      <c r="BW185" s="73"/>
      <c r="BX185" s="73"/>
      <c r="BY185" s="73"/>
      <c r="BZ185" s="73"/>
      <c r="CA185" s="73"/>
      <c r="CB185" s="73"/>
      <c r="CC185" s="73"/>
      <c r="CD185" s="73"/>
      <c r="CE185" s="73"/>
      <c r="CF185" s="73"/>
      <c r="CG185" s="73"/>
      <c r="CH185" s="73"/>
      <c r="CI185" s="73"/>
      <c r="CJ185" s="73"/>
      <c r="CK185" s="73"/>
      <c r="CL185" s="73"/>
      <c r="CM185" s="73"/>
      <c r="CN185" s="73"/>
      <c r="CO185" s="73"/>
      <c r="CP185" s="73"/>
      <c r="CQ185" s="73"/>
      <c r="CR185" s="73"/>
      <c r="CS185" s="73"/>
      <c r="CT185" s="73"/>
      <c r="CU185" s="73"/>
      <c r="CV185" s="73"/>
      <c r="CW185" s="73"/>
      <c r="CX185" s="73"/>
      <c r="CY185" s="73"/>
      <c r="CZ185" s="73"/>
      <c r="DA185" s="73"/>
      <c r="DB185" s="73"/>
      <c r="DC185" s="73"/>
      <c r="DD185" s="73"/>
      <c r="DE185" s="73"/>
      <c r="DF185" s="73"/>
      <c r="DG185" s="73"/>
      <c r="DH185" s="73"/>
      <c r="DI185" s="73"/>
      <c r="DJ185" s="73"/>
      <c r="DK185" s="73"/>
      <c r="DL185" s="73"/>
      <c r="DM185" s="73"/>
      <c r="DN185" s="73"/>
      <c r="DO185" s="73"/>
      <c r="DP185" s="73"/>
      <c r="DQ185" s="73"/>
      <c r="DR185" s="73"/>
      <c r="DS185" s="73"/>
      <c r="DT185" s="73"/>
      <c r="DU185" s="74"/>
      <c r="DV185" s="74"/>
      <c r="DW185" s="72"/>
      <c r="DX185" s="72"/>
      <c r="DY185" s="72"/>
      <c r="DZ185" s="96"/>
      <c r="EA185" s="82" t="s">
        <v>146</v>
      </c>
    </row>
    <row r="186" ht="21.75" customHeight="1">
      <c r="A186" s="64"/>
      <c r="B186" s="92"/>
      <c r="C186" s="72"/>
      <c r="D186" s="71"/>
      <c r="E186" s="71"/>
      <c r="F186" s="78" t="s">
        <v>53</v>
      </c>
      <c r="G186" s="73"/>
      <c r="H186" s="73"/>
      <c r="I186" s="73"/>
      <c r="J186" s="73"/>
      <c r="K186" s="73"/>
      <c r="L186" s="73"/>
      <c r="M186" s="79">
        <f t="shared" si="944"/>
        <v>0</v>
      </c>
      <c r="N186" s="79">
        <v>0.0</v>
      </c>
      <c r="O186" s="79">
        <v>0.0</v>
      </c>
      <c r="P186" s="79"/>
      <c r="Q186" s="79"/>
      <c r="R186" s="79"/>
      <c r="S186" s="79">
        <f t="shared" si="945"/>
        <v>0</v>
      </c>
      <c r="T186" s="79">
        <v>0.0</v>
      </c>
      <c r="U186" s="79">
        <v>0.0</v>
      </c>
      <c r="V186" s="79"/>
      <c r="W186" s="79"/>
      <c r="X186" s="79"/>
      <c r="Y186" s="79">
        <f t="shared" ref="Y186:Y187" si="949">Z186+AA186</f>
        <v>156881</v>
      </c>
      <c r="Z186" s="79">
        <v>0.0</v>
      </c>
      <c r="AA186" s="79">
        <v>156881.0</v>
      </c>
      <c r="AB186" s="79"/>
      <c r="AC186" s="79"/>
      <c r="AD186" s="79"/>
      <c r="AE186" s="79">
        <f t="shared" ref="AE186:AG186" si="946">M186+S186+Y186</f>
        <v>156881</v>
      </c>
      <c r="AF186" s="79">
        <f t="shared" si="946"/>
        <v>0</v>
      </c>
      <c r="AG186" s="79">
        <f t="shared" si="946"/>
        <v>156881</v>
      </c>
      <c r="AH186" s="73"/>
      <c r="AI186" s="73"/>
      <c r="AJ186" s="73"/>
      <c r="AK186" s="79">
        <f t="shared" ref="AK186:AK187" si="951">AL186+AM186</f>
        <v>0</v>
      </c>
      <c r="AL186" s="79">
        <v>0.0</v>
      </c>
      <c r="AM186" s="79">
        <v>0.0</v>
      </c>
      <c r="AN186" s="73"/>
      <c r="AO186" s="73"/>
      <c r="AP186" s="73"/>
      <c r="AQ186" s="79">
        <f t="shared" ref="AQ186:AS186" si="947">AE186+AK186</f>
        <v>156881</v>
      </c>
      <c r="AR186" s="79">
        <f t="shared" si="947"/>
        <v>0</v>
      </c>
      <c r="AS186" s="79">
        <f t="shared" si="947"/>
        <v>156881</v>
      </c>
      <c r="AT186" s="73"/>
      <c r="AU186" s="73"/>
      <c r="AV186" s="73"/>
      <c r="AW186" s="79">
        <f t="shared" ref="AW186:AW187" si="953">AX186+AY186</f>
        <v>84389.88574</v>
      </c>
      <c r="AX186" s="79">
        <v>0.0</v>
      </c>
      <c r="AY186" s="79">
        <v>84389.88574</v>
      </c>
      <c r="AZ186" s="73"/>
      <c r="BA186" s="73"/>
      <c r="BB186" s="73"/>
      <c r="BC186" s="79">
        <f t="shared" ref="BC186:BE186" si="948">AQ186+AW186</f>
        <v>241270.8857</v>
      </c>
      <c r="BD186" s="79">
        <f t="shared" si="948"/>
        <v>0</v>
      </c>
      <c r="BE186" s="79">
        <f t="shared" si="948"/>
        <v>241270.8857</v>
      </c>
      <c r="BF186" s="73"/>
      <c r="BG186" s="73"/>
      <c r="BH186" s="73"/>
      <c r="BI186" s="73"/>
      <c r="BJ186" s="73"/>
      <c r="BK186" s="73"/>
      <c r="BL186" s="73"/>
      <c r="BM186" s="73"/>
      <c r="BN186" s="73"/>
      <c r="BO186" s="73"/>
      <c r="BP186" s="73"/>
      <c r="BQ186" s="73"/>
      <c r="BR186" s="73"/>
      <c r="BS186" s="73"/>
      <c r="BT186" s="73"/>
      <c r="BU186" s="73"/>
      <c r="BV186" s="73"/>
      <c r="BW186" s="73"/>
      <c r="BX186" s="73"/>
      <c r="BY186" s="73"/>
      <c r="BZ186" s="73"/>
      <c r="CA186" s="73"/>
      <c r="CB186" s="73"/>
      <c r="CC186" s="73"/>
      <c r="CD186" s="73"/>
      <c r="CE186" s="73"/>
      <c r="CF186" s="73"/>
      <c r="CG186" s="73"/>
      <c r="CH186" s="73"/>
      <c r="CI186" s="73"/>
      <c r="CJ186" s="73"/>
      <c r="CK186" s="73"/>
      <c r="CL186" s="73"/>
      <c r="CM186" s="73"/>
      <c r="CN186" s="73"/>
      <c r="CO186" s="73"/>
      <c r="CP186" s="73"/>
      <c r="CQ186" s="73"/>
      <c r="CR186" s="73"/>
      <c r="CS186" s="73"/>
      <c r="CT186" s="73"/>
      <c r="CU186" s="73"/>
      <c r="CV186" s="73"/>
      <c r="CW186" s="73"/>
      <c r="CX186" s="73"/>
      <c r="CY186" s="73"/>
      <c r="CZ186" s="73"/>
      <c r="DA186" s="73"/>
      <c r="DB186" s="73"/>
      <c r="DC186" s="73"/>
      <c r="DD186" s="73"/>
      <c r="DE186" s="73"/>
      <c r="DF186" s="73"/>
      <c r="DG186" s="73"/>
      <c r="DH186" s="73"/>
      <c r="DI186" s="73"/>
      <c r="DJ186" s="73"/>
      <c r="DK186" s="73"/>
      <c r="DL186" s="73"/>
      <c r="DM186" s="73"/>
      <c r="DN186" s="73"/>
      <c r="DO186" s="73"/>
      <c r="DP186" s="73"/>
      <c r="DQ186" s="73"/>
      <c r="DR186" s="73"/>
      <c r="DS186" s="73"/>
      <c r="DT186" s="73"/>
      <c r="DU186" s="74"/>
      <c r="DV186" s="74"/>
      <c r="DW186" s="72"/>
      <c r="DX186" s="72"/>
      <c r="DY186" s="72"/>
      <c r="DZ186" s="75"/>
      <c r="EA186" s="76" t="s">
        <v>147</v>
      </c>
    </row>
    <row r="187" ht="21.75" customHeight="1">
      <c r="A187" s="64"/>
      <c r="B187" s="92"/>
      <c r="C187" s="72"/>
      <c r="D187" s="71"/>
      <c r="E187" s="71"/>
      <c r="F187" s="78" t="s">
        <v>55</v>
      </c>
      <c r="G187" s="73"/>
      <c r="H187" s="73"/>
      <c r="I187" s="73"/>
      <c r="J187" s="73"/>
      <c r="K187" s="73"/>
      <c r="L187" s="73"/>
      <c r="M187" s="79">
        <f t="shared" si="944"/>
        <v>0</v>
      </c>
      <c r="N187" s="79">
        <v>0.0</v>
      </c>
      <c r="O187" s="79">
        <v>0.0</v>
      </c>
      <c r="P187" s="79"/>
      <c r="Q187" s="79"/>
      <c r="R187" s="79"/>
      <c r="S187" s="79">
        <f t="shared" si="945"/>
        <v>0</v>
      </c>
      <c r="T187" s="79">
        <v>0.0</v>
      </c>
      <c r="U187" s="79">
        <v>0.0</v>
      </c>
      <c r="V187" s="79"/>
      <c r="W187" s="79"/>
      <c r="X187" s="79"/>
      <c r="Y187" s="79">
        <f t="shared" si="949"/>
        <v>0</v>
      </c>
      <c r="Z187" s="79">
        <v>0.0</v>
      </c>
      <c r="AA187" s="79">
        <v>0.0</v>
      </c>
      <c r="AB187" s="79"/>
      <c r="AC187" s="79"/>
      <c r="AD187" s="79"/>
      <c r="AE187" s="79">
        <f t="shared" ref="AE187:AG187" si="950">M187+S187+Y187</f>
        <v>0</v>
      </c>
      <c r="AF187" s="79">
        <f t="shared" si="950"/>
        <v>0</v>
      </c>
      <c r="AG187" s="79">
        <f t="shared" si="950"/>
        <v>0</v>
      </c>
      <c r="AH187" s="73"/>
      <c r="AI187" s="73"/>
      <c r="AJ187" s="73"/>
      <c r="AK187" s="79">
        <f t="shared" si="951"/>
        <v>0</v>
      </c>
      <c r="AL187" s="79">
        <v>0.0</v>
      </c>
      <c r="AM187" s="79">
        <v>0.0</v>
      </c>
      <c r="AN187" s="73"/>
      <c r="AO187" s="73"/>
      <c r="AP187" s="73"/>
      <c r="AQ187" s="79">
        <f t="shared" ref="AQ187:AS187" si="952">AE187+AK187</f>
        <v>0</v>
      </c>
      <c r="AR187" s="79">
        <f t="shared" si="952"/>
        <v>0</v>
      </c>
      <c r="AS187" s="79">
        <f t="shared" si="952"/>
        <v>0</v>
      </c>
      <c r="AT187" s="73"/>
      <c r="AU187" s="73"/>
      <c r="AV187" s="73"/>
      <c r="AW187" s="79">
        <f t="shared" si="953"/>
        <v>6216.57473</v>
      </c>
      <c r="AX187" s="79">
        <v>0.0</v>
      </c>
      <c r="AY187" s="79">
        <v>6216.57473</v>
      </c>
      <c r="AZ187" s="73"/>
      <c r="BA187" s="73"/>
      <c r="BB187" s="73"/>
      <c r="BC187" s="79">
        <f t="shared" ref="BC187:BE187" si="954">AQ187+AW187</f>
        <v>6216.57473</v>
      </c>
      <c r="BD187" s="79">
        <f t="shared" si="954"/>
        <v>0</v>
      </c>
      <c r="BE187" s="79">
        <f t="shared" si="954"/>
        <v>6216.57473</v>
      </c>
      <c r="BF187" s="73"/>
      <c r="BG187" s="73"/>
      <c r="BH187" s="73"/>
      <c r="BI187" s="73"/>
      <c r="BJ187" s="73"/>
      <c r="BK187" s="73"/>
      <c r="BL187" s="73"/>
      <c r="BM187" s="73"/>
      <c r="BN187" s="73"/>
      <c r="BO187" s="73"/>
      <c r="BP187" s="73"/>
      <c r="BQ187" s="73"/>
      <c r="BR187" s="73"/>
      <c r="BS187" s="73"/>
      <c r="BT187" s="73"/>
      <c r="BU187" s="73"/>
      <c r="BV187" s="73"/>
      <c r="BW187" s="73"/>
      <c r="BX187" s="73"/>
      <c r="BY187" s="73"/>
      <c r="BZ187" s="73"/>
      <c r="CA187" s="73"/>
      <c r="CB187" s="73"/>
      <c r="CC187" s="73"/>
      <c r="CD187" s="73"/>
      <c r="CE187" s="73"/>
      <c r="CF187" s="73"/>
      <c r="CG187" s="73"/>
      <c r="CH187" s="73"/>
      <c r="CI187" s="73"/>
      <c r="CJ187" s="73"/>
      <c r="CK187" s="73"/>
      <c r="CL187" s="73"/>
      <c r="CM187" s="73"/>
      <c r="CN187" s="73"/>
      <c r="CO187" s="73"/>
      <c r="CP187" s="73"/>
      <c r="CQ187" s="73"/>
      <c r="CR187" s="73"/>
      <c r="CS187" s="73"/>
      <c r="CT187" s="73"/>
      <c r="CU187" s="73"/>
      <c r="CV187" s="73"/>
      <c r="CW187" s="73"/>
      <c r="CX187" s="73"/>
      <c r="CY187" s="73"/>
      <c r="CZ187" s="73"/>
      <c r="DA187" s="73"/>
      <c r="DB187" s="73"/>
      <c r="DC187" s="73"/>
      <c r="DD187" s="73"/>
      <c r="DE187" s="73"/>
      <c r="DF187" s="73"/>
      <c r="DG187" s="73"/>
      <c r="DH187" s="73"/>
      <c r="DI187" s="73"/>
      <c r="DJ187" s="73"/>
      <c r="DK187" s="73"/>
      <c r="DL187" s="73"/>
      <c r="DM187" s="73"/>
      <c r="DN187" s="73"/>
      <c r="DO187" s="73"/>
      <c r="DP187" s="73"/>
      <c r="DQ187" s="73"/>
      <c r="DR187" s="73"/>
      <c r="DS187" s="73"/>
      <c r="DT187" s="73"/>
      <c r="DU187" s="74"/>
      <c r="DV187" s="74"/>
      <c r="DW187" s="72"/>
      <c r="DX187" s="72"/>
      <c r="DY187" s="72"/>
      <c r="DZ187" s="75"/>
      <c r="EA187" s="76" t="s">
        <v>148</v>
      </c>
    </row>
    <row r="188" ht="21.75" customHeight="1">
      <c r="A188" s="64"/>
      <c r="B188" s="70" t="s">
        <v>40</v>
      </c>
      <c r="C188" s="71" t="s">
        <v>149</v>
      </c>
      <c r="D188" s="71" t="s">
        <v>41</v>
      </c>
      <c r="E188" s="71" t="s">
        <v>44</v>
      </c>
      <c r="F188" s="72" t="s">
        <v>150</v>
      </c>
      <c r="G188" s="73">
        <v>548117.0</v>
      </c>
      <c r="H188" s="73">
        <v>0.0</v>
      </c>
      <c r="I188" s="73">
        <v>548117.0</v>
      </c>
      <c r="J188" s="73">
        <f t="shared" ref="J188:L188" si="955">J189+J191+J194</f>
        <v>0</v>
      </c>
      <c r="K188" s="73">
        <f t="shared" si="955"/>
        <v>0</v>
      </c>
      <c r="L188" s="73">
        <f t="shared" si="955"/>
        <v>0</v>
      </c>
      <c r="M188" s="73">
        <f t="shared" ref="M188:O188" si="956">M189+M191+M194+M197+M198</f>
        <v>6194.28802</v>
      </c>
      <c r="N188" s="73">
        <f t="shared" si="956"/>
        <v>0</v>
      </c>
      <c r="O188" s="73">
        <f t="shared" si="956"/>
        <v>6194.28802</v>
      </c>
      <c r="P188" s="73">
        <f t="shared" ref="P188:R188" si="957">P189+P191+P194</f>
        <v>0</v>
      </c>
      <c r="Q188" s="73">
        <f t="shared" si="957"/>
        <v>0</v>
      </c>
      <c r="R188" s="73">
        <f t="shared" si="957"/>
        <v>0</v>
      </c>
      <c r="S188" s="73">
        <f t="shared" ref="S188:U188" si="958">S189+S191+S194+S197+S198</f>
        <v>3504.01683</v>
      </c>
      <c r="T188" s="73">
        <f t="shared" si="958"/>
        <v>0</v>
      </c>
      <c r="U188" s="73">
        <f t="shared" si="958"/>
        <v>3504.01683</v>
      </c>
      <c r="V188" s="73">
        <v>697.0</v>
      </c>
      <c r="W188" s="73">
        <f>W189+W191+W194</f>
        <v>0</v>
      </c>
      <c r="X188" s="73">
        <v>697.0</v>
      </c>
      <c r="Y188" s="73">
        <f t="shared" ref="Y188:AA188" si="959">Y189+Y191+Y194+Y197+Y198</f>
        <v>7536.55976</v>
      </c>
      <c r="Z188" s="73">
        <f t="shared" si="959"/>
        <v>0</v>
      </c>
      <c r="AA188" s="73">
        <f t="shared" si="959"/>
        <v>7536.55976</v>
      </c>
      <c r="AB188" s="73">
        <f t="shared" ref="AB188:AG188" si="960">J188+P188+V188</f>
        <v>697</v>
      </c>
      <c r="AC188" s="73">
        <f t="shared" si="960"/>
        <v>0</v>
      </c>
      <c r="AD188" s="73">
        <f t="shared" si="960"/>
        <v>697</v>
      </c>
      <c r="AE188" s="73">
        <f t="shared" si="960"/>
        <v>17234.86461</v>
      </c>
      <c r="AF188" s="73">
        <f t="shared" si="960"/>
        <v>0</v>
      </c>
      <c r="AG188" s="73">
        <f t="shared" si="960"/>
        <v>17234.86461</v>
      </c>
      <c r="AH188" s="73">
        <v>2361.0</v>
      </c>
      <c r="AI188" s="73">
        <v>0.0</v>
      </c>
      <c r="AJ188" s="73">
        <v>2361.0</v>
      </c>
      <c r="AK188" s="73">
        <f t="shared" ref="AK188:AM188" si="961">AK189+AK191+AK194+AK197+AK198</f>
        <v>10233.32648</v>
      </c>
      <c r="AL188" s="73">
        <f t="shared" si="961"/>
        <v>0</v>
      </c>
      <c r="AM188" s="73">
        <f t="shared" si="961"/>
        <v>10233.32648</v>
      </c>
      <c r="AN188" s="73">
        <f t="shared" ref="AN188:AS188" si="962">AB188+AH188</f>
        <v>3058</v>
      </c>
      <c r="AO188" s="73">
        <f t="shared" si="962"/>
        <v>0</v>
      </c>
      <c r="AP188" s="73">
        <f t="shared" si="962"/>
        <v>3058</v>
      </c>
      <c r="AQ188" s="73">
        <f t="shared" si="962"/>
        <v>27468.19109</v>
      </c>
      <c r="AR188" s="73">
        <f t="shared" si="962"/>
        <v>0</v>
      </c>
      <c r="AS188" s="73">
        <f t="shared" si="962"/>
        <v>27468.19109</v>
      </c>
      <c r="AT188" s="73">
        <v>3542.0</v>
      </c>
      <c r="AU188" s="73">
        <v>0.0</v>
      </c>
      <c r="AV188" s="73">
        <v>3542.0</v>
      </c>
      <c r="AW188" s="73">
        <f t="shared" ref="AW188:AY188" si="963">AW189+AW191+AW194+AW197+AW198</f>
        <v>14993.45857</v>
      </c>
      <c r="AX188" s="73">
        <f t="shared" si="963"/>
        <v>863.055</v>
      </c>
      <c r="AY188" s="73">
        <f t="shared" si="963"/>
        <v>14130.40357</v>
      </c>
      <c r="AZ188" s="73">
        <f t="shared" ref="AZ188:BE188" si="964">AN188+AT188</f>
        <v>6600</v>
      </c>
      <c r="BA188" s="73">
        <f t="shared" si="964"/>
        <v>0</v>
      </c>
      <c r="BB188" s="73">
        <f t="shared" si="964"/>
        <v>6600</v>
      </c>
      <c r="BC188" s="73">
        <f t="shared" si="964"/>
        <v>42461.64966</v>
      </c>
      <c r="BD188" s="73">
        <f t="shared" si="964"/>
        <v>863.055</v>
      </c>
      <c r="BE188" s="73">
        <f t="shared" si="964"/>
        <v>41598.59466</v>
      </c>
      <c r="BF188" s="88" t="str">
        <f t="shared" ref="BF188:DY188" si="965">BF196+#REF!+BF197+BF198</f>
        <v>#REF!</v>
      </c>
      <c r="BG188" s="88" t="str">
        <f t="shared" si="965"/>
        <v>#REF!</v>
      </c>
      <c r="BH188" s="88" t="str">
        <f t="shared" si="965"/>
        <v>#REF!</v>
      </c>
      <c r="BI188" s="88" t="str">
        <f t="shared" si="965"/>
        <v>#REF!</v>
      </c>
      <c r="BJ188" s="88" t="str">
        <f t="shared" si="965"/>
        <v>#REF!</v>
      </c>
      <c r="BK188" s="88" t="str">
        <f t="shared" si="965"/>
        <v>#REF!</v>
      </c>
      <c r="BL188" s="88" t="str">
        <f t="shared" si="965"/>
        <v>#REF!</v>
      </c>
      <c r="BM188" s="88" t="str">
        <f t="shared" si="965"/>
        <v>#REF!</v>
      </c>
      <c r="BN188" s="88" t="str">
        <f t="shared" si="965"/>
        <v>#REF!</v>
      </c>
      <c r="BO188" s="88" t="str">
        <f t="shared" si="965"/>
        <v>#REF!</v>
      </c>
      <c r="BP188" s="88" t="str">
        <f t="shared" si="965"/>
        <v>#REF!</v>
      </c>
      <c r="BQ188" s="88" t="str">
        <f t="shared" si="965"/>
        <v>#REF!</v>
      </c>
      <c r="BR188" s="88" t="str">
        <f t="shared" si="965"/>
        <v>#REF!</v>
      </c>
      <c r="BS188" s="88" t="str">
        <f t="shared" si="965"/>
        <v>#REF!</v>
      </c>
      <c r="BT188" s="88" t="str">
        <f t="shared" si="965"/>
        <v>#REF!</v>
      </c>
      <c r="BU188" s="88" t="str">
        <f t="shared" si="965"/>
        <v>#REF!</v>
      </c>
      <c r="BV188" s="88" t="str">
        <f t="shared" si="965"/>
        <v>#REF!</v>
      </c>
      <c r="BW188" s="88" t="str">
        <f t="shared" si="965"/>
        <v>#REF!</v>
      </c>
      <c r="BX188" s="88" t="str">
        <f t="shared" si="965"/>
        <v>#REF!</v>
      </c>
      <c r="BY188" s="88" t="str">
        <f t="shared" si="965"/>
        <v>#REF!</v>
      </c>
      <c r="BZ188" s="88" t="str">
        <f t="shared" si="965"/>
        <v>#REF!</v>
      </c>
      <c r="CA188" s="88" t="str">
        <f t="shared" si="965"/>
        <v>#REF!</v>
      </c>
      <c r="CB188" s="88" t="str">
        <f t="shared" si="965"/>
        <v>#REF!</v>
      </c>
      <c r="CC188" s="88" t="str">
        <f t="shared" si="965"/>
        <v>#REF!</v>
      </c>
      <c r="CD188" s="88" t="str">
        <f t="shared" si="965"/>
        <v>#REF!</v>
      </c>
      <c r="CE188" s="88" t="str">
        <f t="shared" si="965"/>
        <v>#REF!</v>
      </c>
      <c r="CF188" s="88" t="str">
        <f t="shared" si="965"/>
        <v>#REF!</v>
      </c>
      <c r="CG188" s="88" t="str">
        <f t="shared" si="965"/>
        <v>#REF!</v>
      </c>
      <c r="CH188" s="88" t="str">
        <f t="shared" si="965"/>
        <v>#REF!</v>
      </c>
      <c r="CI188" s="88" t="str">
        <f t="shared" si="965"/>
        <v>#REF!</v>
      </c>
      <c r="CJ188" s="88" t="str">
        <f t="shared" si="965"/>
        <v>#REF!</v>
      </c>
      <c r="CK188" s="88" t="str">
        <f t="shared" si="965"/>
        <v>#REF!</v>
      </c>
      <c r="CL188" s="88" t="str">
        <f t="shared" si="965"/>
        <v>#REF!</v>
      </c>
      <c r="CM188" s="88" t="str">
        <f t="shared" si="965"/>
        <v>#REF!</v>
      </c>
      <c r="CN188" s="88" t="str">
        <f t="shared" si="965"/>
        <v>#REF!</v>
      </c>
      <c r="CO188" s="88" t="str">
        <f t="shared" si="965"/>
        <v>#REF!</v>
      </c>
      <c r="CP188" s="88" t="str">
        <f t="shared" si="965"/>
        <v>#REF!</v>
      </c>
      <c r="CQ188" s="88" t="str">
        <f t="shared" si="965"/>
        <v>#REF!</v>
      </c>
      <c r="CR188" s="88" t="str">
        <f t="shared" si="965"/>
        <v>#REF!</v>
      </c>
      <c r="CS188" s="88" t="str">
        <f t="shared" si="965"/>
        <v>#REF!</v>
      </c>
      <c r="CT188" s="88" t="str">
        <f t="shared" si="965"/>
        <v>#REF!</v>
      </c>
      <c r="CU188" s="88" t="str">
        <f t="shared" si="965"/>
        <v>#REF!</v>
      </c>
      <c r="CV188" s="88" t="str">
        <f t="shared" si="965"/>
        <v>#REF!</v>
      </c>
      <c r="CW188" s="88" t="str">
        <f t="shared" si="965"/>
        <v>#REF!</v>
      </c>
      <c r="CX188" s="88" t="str">
        <f t="shared" si="965"/>
        <v>#REF!</v>
      </c>
      <c r="CY188" s="88" t="str">
        <f t="shared" si="965"/>
        <v>#REF!</v>
      </c>
      <c r="CZ188" s="88" t="str">
        <f t="shared" si="965"/>
        <v>#REF!</v>
      </c>
      <c r="DA188" s="88" t="str">
        <f t="shared" si="965"/>
        <v>#REF!</v>
      </c>
      <c r="DB188" s="88" t="str">
        <f t="shared" si="965"/>
        <v>#REF!</v>
      </c>
      <c r="DC188" s="88" t="str">
        <f t="shared" si="965"/>
        <v>#REF!</v>
      </c>
      <c r="DD188" s="88" t="str">
        <f t="shared" si="965"/>
        <v>#REF!</v>
      </c>
      <c r="DE188" s="88" t="str">
        <f t="shared" si="965"/>
        <v>#REF!</v>
      </c>
      <c r="DF188" s="88" t="str">
        <f t="shared" si="965"/>
        <v>#REF!</v>
      </c>
      <c r="DG188" s="88" t="str">
        <f t="shared" si="965"/>
        <v>#REF!</v>
      </c>
      <c r="DH188" s="88" t="str">
        <f t="shared" si="965"/>
        <v>#REF!</v>
      </c>
      <c r="DI188" s="88" t="str">
        <f t="shared" si="965"/>
        <v>#REF!</v>
      </c>
      <c r="DJ188" s="88" t="str">
        <f t="shared" si="965"/>
        <v>#REF!</v>
      </c>
      <c r="DK188" s="88" t="str">
        <f t="shared" si="965"/>
        <v>#REF!</v>
      </c>
      <c r="DL188" s="88" t="str">
        <f t="shared" si="965"/>
        <v>#REF!</v>
      </c>
      <c r="DM188" s="88" t="str">
        <f t="shared" si="965"/>
        <v>#REF!</v>
      </c>
      <c r="DN188" s="88" t="str">
        <f t="shared" si="965"/>
        <v>#REF!</v>
      </c>
      <c r="DO188" s="88" t="str">
        <f t="shared" si="965"/>
        <v>#REF!</v>
      </c>
      <c r="DP188" s="88" t="str">
        <f t="shared" si="965"/>
        <v>#REF!</v>
      </c>
      <c r="DQ188" s="88" t="str">
        <f t="shared" si="965"/>
        <v>#REF!</v>
      </c>
      <c r="DR188" s="88" t="str">
        <f t="shared" si="965"/>
        <v>#REF!</v>
      </c>
      <c r="DS188" s="88" t="str">
        <f t="shared" si="965"/>
        <v>#REF!</v>
      </c>
      <c r="DT188" s="88" t="str">
        <f t="shared" si="965"/>
        <v>#REF!</v>
      </c>
      <c r="DU188" s="89" t="str">
        <f t="shared" si="965"/>
        <v>#REF!</v>
      </c>
      <c r="DV188" s="89" t="str">
        <f t="shared" si="965"/>
        <v>#REF!</v>
      </c>
      <c r="DW188" s="89" t="str">
        <f t="shared" si="965"/>
        <v>#REF!</v>
      </c>
      <c r="DX188" s="89" t="str">
        <f t="shared" si="965"/>
        <v>#REF!</v>
      </c>
      <c r="DY188" s="89" t="str">
        <f t="shared" si="965"/>
        <v>#REF!</v>
      </c>
      <c r="DZ188" s="74"/>
      <c r="EA188" s="76"/>
    </row>
    <row r="189" ht="21.75" customHeight="1">
      <c r="A189" s="64"/>
      <c r="B189" s="70"/>
      <c r="C189" s="71"/>
      <c r="D189" s="71"/>
      <c r="E189" s="71"/>
      <c r="F189" s="78" t="s">
        <v>46</v>
      </c>
      <c r="G189" s="73"/>
      <c r="H189" s="73"/>
      <c r="I189" s="73"/>
      <c r="J189" s="73"/>
      <c r="K189" s="73"/>
      <c r="L189" s="73"/>
      <c r="M189" s="79">
        <f t="shared" ref="M189:O189" si="966">M190</f>
        <v>0</v>
      </c>
      <c r="N189" s="79">
        <f t="shared" si="966"/>
        <v>0</v>
      </c>
      <c r="O189" s="79">
        <f t="shared" si="966"/>
        <v>0</v>
      </c>
      <c r="P189" s="79"/>
      <c r="Q189" s="79"/>
      <c r="R189" s="79"/>
      <c r="S189" s="79">
        <f t="shared" ref="S189:U189" si="967">S190</f>
        <v>210.68782</v>
      </c>
      <c r="T189" s="79">
        <f t="shared" si="967"/>
        <v>0</v>
      </c>
      <c r="U189" s="79">
        <f t="shared" si="967"/>
        <v>210.68782</v>
      </c>
      <c r="V189" s="79"/>
      <c r="W189" s="79"/>
      <c r="X189" s="79"/>
      <c r="Y189" s="79">
        <f t="shared" ref="Y189:AA189" si="968">Y190</f>
        <v>0</v>
      </c>
      <c r="Z189" s="79">
        <f t="shared" si="968"/>
        <v>0</v>
      </c>
      <c r="AA189" s="79">
        <f t="shared" si="968"/>
        <v>0</v>
      </c>
      <c r="AB189" s="79"/>
      <c r="AC189" s="79"/>
      <c r="AD189" s="79"/>
      <c r="AE189" s="79">
        <f t="shared" ref="AE189:AG189" si="969">M189+S189+Y189</f>
        <v>210.68782</v>
      </c>
      <c r="AF189" s="79">
        <f t="shared" si="969"/>
        <v>0</v>
      </c>
      <c r="AG189" s="79">
        <f t="shared" si="969"/>
        <v>210.68782</v>
      </c>
      <c r="AH189" s="88"/>
      <c r="AI189" s="88"/>
      <c r="AJ189" s="88"/>
      <c r="AK189" s="79">
        <f t="shared" ref="AK189:AM189" si="970">AK190</f>
        <v>0</v>
      </c>
      <c r="AL189" s="79">
        <f t="shared" si="970"/>
        <v>0</v>
      </c>
      <c r="AM189" s="79">
        <f t="shared" si="970"/>
        <v>0</v>
      </c>
      <c r="AN189" s="73"/>
      <c r="AO189" s="73"/>
      <c r="AP189" s="73"/>
      <c r="AQ189" s="79">
        <f t="shared" ref="AQ189:AS189" si="971">AE189+AK189</f>
        <v>210.68782</v>
      </c>
      <c r="AR189" s="79">
        <f t="shared" si="971"/>
        <v>0</v>
      </c>
      <c r="AS189" s="79">
        <f t="shared" si="971"/>
        <v>210.68782</v>
      </c>
      <c r="AT189" s="73"/>
      <c r="AU189" s="73"/>
      <c r="AV189" s="73"/>
      <c r="AW189" s="79">
        <v>0.0</v>
      </c>
      <c r="AX189" s="79">
        <v>0.0</v>
      </c>
      <c r="AY189" s="79">
        <v>0.0</v>
      </c>
      <c r="AZ189" s="73"/>
      <c r="BA189" s="73"/>
      <c r="BB189" s="73"/>
      <c r="BC189" s="79">
        <f t="shared" ref="BC189:BE189" si="972">AQ189+AW189</f>
        <v>210.68782</v>
      </c>
      <c r="BD189" s="79">
        <f t="shared" si="972"/>
        <v>0</v>
      </c>
      <c r="BE189" s="79">
        <f t="shared" si="972"/>
        <v>210.68782</v>
      </c>
      <c r="BF189" s="88"/>
      <c r="BG189" s="88"/>
      <c r="BH189" s="88"/>
      <c r="BI189" s="88"/>
      <c r="BJ189" s="88"/>
      <c r="BK189" s="88"/>
      <c r="BL189" s="88"/>
      <c r="BM189" s="88"/>
      <c r="BN189" s="88"/>
      <c r="BO189" s="88"/>
      <c r="BP189" s="88"/>
      <c r="BQ189" s="88"/>
      <c r="BR189" s="88"/>
      <c r="BS189" s="88"/>
      <c r="BT189" s="88"/>
      <c r="BU189" s="88"/>
      <c r="BV189" s="88"/>
      <c r="BW189" s="88"/>
      <c r="BX189" s="88"/>
      <c r="BY189" s="88"/>
      <c r="BZ189" s="88"/>
      <c r="CA189" s="88"/>
      <c r="CB189" s="88"/>
      <c r="CC189" s="88"/>
      <c r="CD189" s="88"/>
      <c r="CE189" s="88"/>
      <c r="CF189" s="88"/>
      <c r="CG189" s="88"/>
      <c r="CH189" s="88"/>
      <c r="CI189" s="88"/>
      <c r="CJ189" s="88"/>
      <c r="CK189" s="88"/>
      <c r="CL189" s="88"/>
      <c r="CM189" s="88"/>
      <c r="CN189" s="88"/>
      <c r="CO189" s="88"/>
      <c r="CP189" s="88"/>
      <c r="CQ189" s="88"/>
      <c r="CR189" s="88"/>
      <c r="CS189" s="88"/>
      <c r="CT189" s="88"/>
      <c r="CU189" s="88"/>
      <c r="CV189" s="88"/>
      <c r="CW189" s="88"/>
      <c r="CX189" s="88"/>
      <c r="CY189" s="88"/>
      <c r="CZ189" s="88"/>
      <c r="DA189" s="88"/>
      <c r="DB189" s="88"/>
      <c r="DC189" s="88"/>
      <c r="DD189" s="88"/>
      <c r="DE189" s="88"/>
      <c r="DF189" s="88"/>
      <c r="DG189" s="88"/>
      <c r="DH189" s="88"/>
      <c r="DI189" s="88"/>
      <c r="DJ189" s="88"/>
      <c r="DK189" s="88"/>
      <c r="DL189" s="88"/>
      <c r="DM189" s="88"/>
      <c r="DN189" s="88"/>
      <c r="DO189" s="88"/>
      <c r="DP189" s="88"/>
      <c r="DQ189" s="88"/>
      <c r="DR189" s="88"/>
      <c r="DS189" s="88"/>
      <c r="DT189" s="88"/>
      <c r="DU189" s="89"/>
      <c r="DV189" s="89"/>
      <c r="DW189" s="89"/>
      <c r="DX189" s="89"/>
      <c r="DY189" s="89"/>
      <c r="DZ189" s="74"/>
      <c r="EA189" s="76"/>
    </row>
    <row r="190" ht="21.75" customHeight="1">
      <c r="A190" s="64"/>
      <c r="B190" s="70"/>
      <c r="C190" s="71"/>
      <c r="D190" s="71"/>
      <c r="E190" s="71"/>
      <c r="F190" s="81" t="s">
        <v>47</v>
      </c>
      <c r="G190" s="73"/>
      <c r="H190" s="73"/>
      <c r="I190" s="73"/>
      <c r="J190" s="73"/>
      <c r="K190" s="73"/>
      <c r="L190" s="73"/>
      <c r="M190" s="73">
        <v>0.0</v>
      </c>
      <c r="N190" s="73">
        <v>0.0</v>
      </c>
      <c r="O190" s="73">
        <v>0.0</v>
      </c>
      <c r="P190" s="73"/>
      <c r="Q190" s="73"/>
      <c r="R190" s="73"/>
      <c r="S190" s="73">
        <v>210.68782</v>
      </c>
      <c r="T190" s="73">
        <v>0.0</v>
      </c>
      <c r="U190" s="73">
        <v>210.68782</v>
      </c>
      <c r="V190" s="73"/>
      <c r="W190" s="73"/>
      <c r="X190" s="73"/>
      <c r="Y190" s="73">
        <v>0.0</v>
      </c>
      <c r="Z190" s="73">
        <v>0.0</v>
      </c>
      <c r="AA190" s="73">
        <v>0.0</v>
      </c>
      <c r="AB190" s="73"/>
      <c r="AC190" s="73"/>
      <c r="AD190" s="73"/>
      <c r="AE190" s="73">
        <f t="shared" ref="AE190:AG190" si="973">M190+S190+Y190</f>
        <v>210.68782</v>
      </c>
      <c r="AF190" s="73">
        <f t="shared" si="973"/>
        <v>0</v>
      </c>
      <c r="AG190" s="73">
        <f t="shared" si="973"/>
        <v>210.68782</v>
      </c>
      <c r="AH190" s="88"/>
      <c r="AI190" s="88"/>
      <c r="AJ190" s="88"/>
      <c r="AK190" s="73">
        <v>0.0</v>
      </c>
      <c r="AL190" s="73">
        <v>0.0</v>
      </c>
      <c r="AM190" s="73">
        <v>0.0</v>
      </c>
      <c r="AN190" s="73"/>
      <c r="AO190" s="73"/>
      <c r="AP190" s="73"/>
      <c r="AQ190" s="73">
        <f t="shared" ref="AQ190:AS190" si="974">AE190+AK190</f>
        <v>210.68782</v>
      </c>
      <c r="AR190" s="73">
        <f t="shared" si="974"/>
        <v>0</v>
      </c>
      <c r="AS190" s="73">
        <f t="shared" si="974"/>
        <v>210.68782</v>
      </c>
      <c r="AT190" s="73"/>
      <c r="AU190" s="73"/>
      <c r="AV190" s="73"/>
      <c r="AW190" s="73">
        <v>0.0</v>
      </c>
      <c r="AX190" s="73">
        <v>0.0</v>
      </c>
      <c r="AY190" s="73">
        <v>0.0</v>
      </c>
      <c r="AZ190" s="73"/>
      <c r="BA190" s="73"/>
      <c r="BB190" s="73"/>
      <c r="BC190" s="73">
        <f t="shared" ref="BC190:BE190" si="975">AQ190+AW190</f>
        <v>210.68782</v>
      </c>
      <c r="BD190" s="73">
        <f t="shared" si="975"/>
        <v>0</v>
      </c>
      <c r="BE190" s="73">
        <f t="shared" si="975"/>
        <v>210.68782</v>
      </c>
      <c r="BF190" s="88"/>
      <c r="BG190" s="88"/>
      <c r="BH190" s="88"/>
      <c r="BI190" s="88"/>
      <c r="BJ190" s="88"/>
      <c r="BK190" s="88"/>
      <c r="BL190" s="88"/>
      <c r="BM190" s="88"/>
      <c r="BN190" s="88"/>
      <c r="BO190" s="88"/>
      <c r="BP190" s="88"/>
      <c r="BQ190" s="88"/>
      <c r="BR190" s="88"/>
      <c r="BS190" s="88"/>
      <c r="BT190" s="88"/>
      <c r="BU190" s="88"/>
      <c r="BV190" s="88"/>
      <c r="BW190" s="88"/>
      <c r="BX190" s="88"/>
      <c r="BY190" s="88"/>
      <c r="BZ190" s="88"/>
      <c r="CA190" s="88"/>
      <c r="CB190" s="88"/>
      <c r="CC190" s="88"/>
      <c r="CD190" s="88"/>
      <c r="CE190" s="88"/>
      <c r="CF190" s="88"/>
      <c r="CG190" s="88"/>
      <c r="CH190" s="88"/>
      <c r="CI190" s="88"/>
      <c r="CJ190" s="88"/>
      <c r="CK190" s="88"/>
      <c r="CL190" s="88"/>
      <c r="CM190" s="88"/>
      <c r="CN190" s="88"/>
      <c r="CO190" s="88"/>
      <c r="CP190" s="88"/>
      <c r="CQ190" s="88"/>
      <c r="CR190" s="88"/>
      <c r="CS190" s="88"/>
      <c r="CT190" s="88"/>
      <c r="CU190" s="88"/>
      <c r="CV190" s="88"/>
      <c r="CW190" s="88"/>
      <c r="CX190" s="88"/>
      <c r="CY190" s="88"/>
      <c r="CZ190" s="88"/>
      <c r="DA190" s="88"/>
      <c r="DB190" s="88"/>
      <c r="DC190" s="88"/>
      <c r="DD190" s="88"/>
      <c r="DE190" s="88"/>
      <c r="DF190" s="88"/>
      <c r="DG190" s="88"/>
      <c r="DH190" s="88"/>
      <c r="DI190" s="88"/>
      <c r="DJ190" s="88"/>
      <c r="DK190" s="88"/>
      <c r="DL190" s="88"/>
      <c r="DM190" s="88"/>
      <c r="DN190" s="88"/>
      <c r="DO190" s="88"/>
      <c r="DP190" s="88"/>
      <c r="DQ190" s="88"/>
      <c r="DR190" s="88"/>
      <c r="DS190" s="88"/>
      <c r="DT190" s="88"/>
      <c r="DU190" s="89"/>
      <c r="DV190" s="89"/>
      <c r="DW190" s="89"/>
      <c r="DX190" s="89"/>
      <c r="DY190" s="89"/>
      <c r="DZ190" s="74"/>
      <c r="EA190" s="76"/>
    </row>
    <row r="191" ht="21.75" customHeight="1">
      <c r="A191" s="64"/>
      <c r="B191" s="70"/>
      <c r="C191" s="71"/>
      <c r="D191" s="71"/>
      <c r="E191" s="71"/>
      <c r="F191" s="78" t="s">
        <v>48</v>
      </c>
      <c r="G191" s="73"/>
      <c r="H191" s="73"/>
      <c r="I191" s="73"/>
      <c r="J191" s="73"/>
      <c r="K191" s="73"/>
      <c r="L191" s="73"/>
      <c r="M191" s="79">
        <f t="shared" ref="M191:O191" si="976">M192+M193</f>
        <v>2041.96631</v>
      </c>
      <c r="N191" s="79">
        <f t="shared" si="976"/>
        <v>0</v>
      </c>
      <c r="O191" s="79">
        <f t="shared" si="976"/>
        <v>2041.96631</v>
      </c>
      <c r="P191" s="79"/>
      <c r="Q191" s="79"/>
      <c r="R191" s="79"/>
      <c r="S191" s="79">
        <f t="shared" ref="S191:U191" si="977">S192+S193</f>
        <v>2286</v>
      </c>
      <c r="T191" s="79">
        <f t="shared" si="977"/>
        <v>0</v>
      </c>
      <c r="U191" s="79">
        <f t="shared" si="977"/>
        <v>2286</v>
      </c>
      <c r="V191" s="79"/>
      <c r="W191" s="79"/>
      <c r="X191" s="79"/>
      <c r="Y191" s="79">
        <f t="shared" ref="Y191:AA191" si="978">Y192+Y193</f>
        <v>6861.85231</v>
      </c>
      <c r="Z191" s="79">
        <f t="shared" si="978"/>
        <v>0</v>
      </c>
      <c r="AA191" s="79">
        <f t="shared" si="978"/>
        <v>6861.85231</v>
      </c>
      <c r="AB191" s="79"/>
      <c r="AC191" s="79"/>
      <c r="AD191" s="79"/>
      <c r="AE191" s="79">
        <f t="shared" ref="AE191:AG191" si="979">M191+S191+Y191</f>
        <v>11189.81862</v>
      </c>
      <c r="AF191" s="79">
        <f t="shared" si="979"/>
        <v>0</v>
      </c>
      <c r="AG191" s="79">
        <f t="shared" si="979"/>
        <v>11189.81862</v>
      </c>
      <c r="AH191" s="88"/>
      <c r="AI191" s="88"/>
      <c r="AJ191" s="88"/>
      <c r="AK191" s="79">
        <f t="shared" ref="AK191:AM191" si="980">AK192+AK193</f>
        <v>1251.31243</v>
      </c>
      <c r="AL191" s="79">
        <f t="shared" si="980"/>
        <v>0</v>
      </c>
      <c r="AM191" s="79">
        <f t="shared" si="980"/>
        <v>1251.31243</v>
      </c>
      <c r="AN191" s="73"/>
      <c r="AO191" s="73"/>
      <c r="AP191" s="73"/>
      <c r="AQ191" s="79">
        <f t="shared" ref="AQ191:AS191" si="981">AE191+AK191</f>
        <v>12441.13105</v>
      </c>
      <c r="AR191" s="79">
        <f t="shared" si="981"/>
        <v>0</v>
      </c>
      <c r="AS191" s="79">
        <f t="shared" si="981"/>
        <v>12441.13105</v>
      </c>
      <c r="AT191" s="73"/>
      <c r="AU191" s="73"/>
      <c r="AV191" s="73"/>
      <c r="AW191" s="79">
        <f t="shared" ref="AW191:AY191" si="982">AW192</f>
        <v>4153.78529</v>
      </c>
      <c r="AX191" s="79">
        <f t="shared" si="982"/>
        <v>0</v>
      </c>
      <c r="AY191" s="79">
        <f t="shared" si="982"/>
        <v>4153.78529</v>
      </c>
      <c r="AZ191" s="73"/>
      <c r="BA191" s="73"/>
      <c r="BB191" s="73"/>
      <c r="BC191" s="79">
        <f t="shared" ref="BC191:BE191" si="983">AQ191+AW191</f>
        <v>16594.91634</v>
      </c>
      <c r="BD191" s="79">
        <f t="shared" si="983"/>
        <v>0</v>
      </c>
      <c r="BE191" s="79">
        <f t="shared" si="983"/>
        <v>16594.91634</v>
      </c>
      <c r="BF191" s="88"/>
      <c r="BG191" s="88"/>
      <c r="BH191" s="88"/>
      <c r="BI191" s="88"/>
      <c r="BJ191" s="88"/>
      <c r="BK191" s="88"/>
      <c r="BL191" s="88"/>
      <c r="BM191" s="88"/>
      <c r="BN191" s="88"/>
      <c r="BO191" s="88"/>
      <c r="BP191" s="88"/>
      <c r="BQ191" s="88"/>
      <c r="BR191" s="88"/>
      <c r="BS191" s="88"/>
      <c r="BT191" s="88"/>
      <c r="BU191" s="88"/>
      <c r="BV191" s="88"/>
      <c r="BW191" s="88"/>
      <c r="BX191" s="88"/>
      <c r="BY191" s="88"/>
      <c r="BZ191" s="88"/>
      <c r="CA191" s="88"/>
      <c r="CB191" s="88"/>
      <c r="CC191" s="88"/>
      <c r="CD191" s="88"/>
      <c r="CE191" s="88"/>
      <c r="CF191" s="88"/>
      <c r="CG191" s="88"/>
      <c r="CH191" s="88"/>
      <c r="CI191" s="88"/>
      <c r="CJ191" s="88"/>
      <c r="CK191" s="88"/>
      <c r="CL191" s="88"/>
      <c r="CM191" s="88"/>
      <c r="CN191" s="88"/>
      <c r="CO191" s="88"/>
      <c r="CP191" s="88"/>
      <c r="CQ191" s="88"/>
      <c r="CR191" s="88"/>
      <c r="CS191" s="88"/>
      <c r="CT191" s="88"/>
      <c r="CU191" s="88"/>
      <c r="CV191" s="88"/>
      <c r="CW191" s="88"/>
      <c r="CX191" s="88"/>
      <c r="CY191" s="88"/>
      <c r="CZ191" s="88"/>
      <c r="DA191" s="88"/>
      <c r="DB191" s="88"/>
      <c r="DC191" s="88"/>
      <c r="DD191" s="88"/>
      <c r="DE191" s="88"/>
      <c r="DF191" s="88"/>
      <c r="DG191" s="88"/>
      <c r="DH191" s="88"/>
      <c r="DI191" s="88"/>
      <c r="DJ191" s="88"/>
      <c r="DK191" s="88"/>
      <c r="DL191" s="88"/>
      <c r="DM191" s="88"/>
      <c r="DN191" s="88"/>
      <c r="DO191" s="88"/>
      <c r="DP191" s="88"/>
      <c r="DQ191" s="88"/>
      <c r="DR191" s="88"/>
      <c r="DS191" s="88"/>
      <c r="DT191" s="88"/>
      <c r="DU191" s="89"/>
      <c r="DV191" s="89"/>
      <c r="DW191" s="89"/>
      <c r="DX191" s="89"/>
      <c r="DY191" s="89"/>
      <c r="DZ191" s="74"/>
      <c r="EA191" s="82"/>
    </row>
    <row r="192" ht="21.75" customHeight="1">
      <c r="A192" s="64"/>
      <c r="B192" s="70"/>
      <c r="C192" s="71"/>
      <c r="D192" s="71"/>
      <c r="E192" s="71"/>
      <c r="F192" s="81" t="s">
        <v>47</v>
      </c>
      <c r="G192" s="73"/>
      <c r="H192" s="73"/>
      <c r="I192" s="73"/>
      <c r="J192" s="73"/>
      <c r="K192" s="73"/>
      <c r="L192" s="73"/>
      <c r="M192" s="73">
        <v>2083.49879</v>
      </c>
      <c r="N192" s="73">
        <v>0.0</v>
      </c>
      <c r="O192" s="73">
        <v>2083.49879</v>
      </c>
      <c r="P192" s="73"/>
      <c r="Q192" s="73"/>
      <c r="R192" s="73"/>
      <c r="S192" s="73">
        <v>2318.30286</v>
      </c>
      <c r="T192" s="73">
        <v>0.0</v>
      </c>
      <c r="U192" s="73">
        <v>2318.30286</v>
      </c>
      <c r="V192" s="73"/>
      <c r="W192" s="73"/>
      <c r="X192" s="73"/>
      <c r="Y192" s="73">
        <f>Z192+AA192</f>
        <v>6861.85231</v>
      </c>
      <c r="Z192" s="73">
        <v>0.0</v>
      </c>
      <c r="AA192" s="73">
        <v>6861.85231</v>
      </c>
      <c r="AB192" s="73"/>
      <c r="AC192" s="73"/>
      <c r="AD192" s="73"/>
      <c r="AE192" s="73">
        <f t="shared" ref="AE192:AG192" si="984">M192+S192+Y192</f>
        <v>11263.65396</v>
      </c>
      <c r="AF192" s="73">
        <f t="shared" si="984"/>
        <v>0</v>
      </c>
      <c r="AG192" s="73">
        <f t="shared" si="984"/>
        <v>11263.65396</v>
      </c>
      <c r="AH192" s="88"/>
      <c r="AI192" s="88"/>
      <c r="AJ192" s="88"/>
      <c r="AK192" s="73">
        <v>1564.45478</v>
      </c>
      <c r="AL192" s="73">
        <v>0.0</v>
      </c>
      <c r="AM192" s="73">
        <v>1564.45478</v>
      </c>
      <c r="AN192" s="73"/>
      <c r="AO192" s="73"/>
      <c r="AP192" s="73"/>
      <c r="AQ192" s="73">
        <f t="shared" ref="AQ192:AS192" si="985">AE192+AK192</f>
        <v>12828.10874</v>
      </c>
      <c r="AR192" s="73">
        <f t="shared" si="985"/>
        <v>0</v>
      </c>
      <c r="AS192" s="73">
        <f t="shared" si="985"/>
        <v>12828.10874</v>
      </c>
      <c r="AT192" s="73"/>
      <c r="AU192" s="73"/>
      <c r="AV192" s="73"/>
      <c r="AW192" s="73">
        <f>2765.10916+1388.67613</f>
        <v>4153.78529</v>
      </c>
      <c r="AX192" s="73">
        <v>0.0</v>
      </c>
      <c r="AY192" s="73">
        <f>2765.10916+1388.67613</f>
        <v>4153.78529</v>
      </c>
      <c r="AZ192" s="73"/>
      <c r="BA192" s="73"/>
      <c r="BB192" s="73"/>
      <c r="BC192" s="73">
        <f t="shared" ref="BC192:BE192" si="986">AQ192+AW192</f>
        <v>16981.89403</v>
      </c>
      <c r="BD192" s="73">
        <f t="shared" si="986"/>
        <v>0</v>
      </c>
      <c r="BE192" s="73">
        <f t="shared" si="986"/>
        <v>16981.89403</v>
      </c>
      <c r="BF192" s="88"/>
      <c r="BG192" s="88"/>
      <c r="BH192" s="88"/>
      <c r="BI192" s="88"/>
      <c r="BJ192" s="88"/>
      <c r="BK192" s="88"/>
      <c r="BL192" s="88"/>
      <c r="BM192" s="88"/>
      <c r="BN192" s="88"/>
      <c r="BO192" s="88"/>
      <c r="BP192" s="88"/>
      <c r="BQ192" s="88"/>
      <c r="BR192" s="88"/>
      <c r="BS192" s="88"/>
      <c r="BT192" s="88"/>
      <c r="BU192" s="88"/>
      <c r="BV192" s="88"/>
      <c r="BW192" s="88"/>
      <c r="BX192" s="88"/>
      <c r="BY192" s="88"/>
      <c r="BZ192" s="88"/>
      <c r="CA192" s="88"/>
      <c r="CB192" s="88"/>
      <c r="CC192" s="88"/>
      <c r="CD192" s="88"/>
      <c r="CE192" s="88"/>
      <c r="CF192" s="88"/>
      <c r="CG192" s="88"/>
      <c r="CH192" s="88"/>
      <c r="CI192" s="88"/>
      <c r="CJ192" s="88"/>
      <c r="CK192" s="88"/>
      <c r="CL192" s="88"/>
      <c r="CM192" s="88"/>
      <c r="CN192" s="88"/>
      <c r="CO192" s="88"/>
      <c r="CP192" s="88"/>
      <c r="CQ192" s="88"/>
      <c r="CR192" s="88"/>
      <c r="CS192" s="88"/>
      <c r="CT192" s="88"/>
      <c r="CU192" s="88"/>
      <c r="CV192" s="88"/>
      <c r="CW192" s="88"/>
      <c r="CX192" s="88"/>
      <c r="CY192" s="88"/>
      <c r="CZ192" s="88"/>
      <c r="DA192" s="88"/>
      <c r="DB192" s="88"/>
      <c r="DC192" s="88"/>
      <c r="DD192" s="88"/>
      <c r="DE192" s="88"/>
      <c r="DF192" s="88"/>
      <c r="DG192" s="88"/>
      <c r="DH192" s="88"/>
      <c r="DI192" s="88"/>
      <c r="DJ192" s="88"/>
      <c r="DK192" s="88"/>
      <c r="DL192" s="88"/>
      <c r="DM192" s="88"/>
      <c r="DN192" s="88"/>
      <c r="DO192" s="88"/>
      <c r="DP192" s="88"/>
      <c r="DQ192" s="88"/>
      <c r="DR192" s="88"/>
      <c r="DS192" s="88"/>
      <c r="DT192" s="88"/>
      <c r="DU192" s="89"/>
      <c r="DV192" s="89"/>
      <c r="DW192" s="89"/>
      <c r="DX192" s="89"/>
      <c r="DY192" s="89"/>
      <c r="DZ192" s="74"/>
      <c r="EA192" s="82" t="s">
        <v>151</v>
      </c>
    </row>
    <row r="193" ht="21.75" customHeight="1">
      <c r="A193" s="64"/>
      <c r="B193" s="70"/>
      <c r="C193" s="71"/>
      <c r="D193" s="71"/>
      <c r="E193" s="71"/>
      <c r="F193" s="81" t="s">
        <v>50</v>
      </c>
      <c r="G193" s="73"/>
      <c r="H193" s="73"/>
      <c r="I193" s="73"/>
      <c r="J193" s="73"/>
      <c r="K193" s="73"/>
      <c r="L193" s="73"/>
      <c r="M193" s="73">
        <v>-41.53248000000008</v>
      </c>
      <c r="N193" s="73">
        <v>0.0</v>
      </c>
      <c r="O193" s="73">
        <v>-41.53248000000008</v>
      </c>
      <c r="P193" s="73"/>
      <c r="Q193" s="73"/>
      <c r="R193" s="73"/>
      <c r="S193" s="73">
        <v>-32.30285999999978</v>
      </c>
      <c r="T193" s="73">
        <v>0.0</v>
      </c>
      <c r="U193" s="73">
        <v>-32.30285999999978</v>
      </c>
      <c r="V193" s="73"/>
      <c r="W193" s="73"/>
      <c r="X193" s="73"/>
      <c r="Y193" s="73">
        <v>0.0</v>
      </c>
      <c r="Z193" s="73">
        <v>0.0</v>
      </c>
      <c r="AA193" s="73">
        <v>0.0</v>
      </c>
      <c r="AB193" s="73"/>
      <c r="AC193" s="73"/>
      <c r="AD193" s="73"/>
      <c r="AE193" s="73">
        <f t="shared" ref="AE193:AG193" si="987">M193+S193+Y193</f>
        <v>-73.83534</v>
      </c>
      <c r="AF193" s="73">
        <f t="shared" si="987"/>
        <v>0</v>
      </c>
      <c r="AG193" s="73">
        <f t="shared" si="987"/>
        <v>-73.83534</v>
      </c>
      <c r="AH193" s="88"/>
      <c r="AI193" s="88"/>
      <c r="AJ193" s="88"/>
      <c r="AK193" s="73">
        <v>-313.1423500000001</v>
      </c>
      <c r="AL193" s="73">
        <v>0.0</v>
      </c>
      <c r="AM193" s="73">
        <v>-313.1423500000001</v>
      </c>
      <c r="AN193" s="73"/>
      <c r="AO193" s="73"/>
      <c r="AP193" s="73"/>
      <c r="AQ193" s="73">
        <f t="shared" ref="AQ193:AS193" si="988">AE193+AK193</f>
        <v>-386.97769</v>
      </c>
      <c r="AR193" s="73">
        <f t="shared" si="988"/>
        <v>0</v>
      </c>
      <c r="AS193" s="73">
        <f t="shared" si="988"/>
        <v>-386.97769</v>
      </c>
      <c r="AT193" s="73"/>
      <c r="AU193" s="73"/>
      <c r="AV193" s="73"/>
      <c r="AW193" s="73"/>
      <c r="AX193" s="73"/>
      <c r="AY193" s="73"/>
      <c r="AZ193" s="73"/>
      <c r="BA193" s="73"/>
      <c r="BB193" s="73"/>
      <c r="BC193" s="73">
        <f t="shared" ref="BC193:BE193" si="989">AQ193+AW193</f>
        <v>-386.97769</v>
      </c>
      <c r="BD193" s="73">
        <f t="shared" si="989"/>
        <v>0</v>
      </c>
      <c r="BE193" s="73">
        <f t="shared" si="989"/>
        <v>-386.97769</v>
      </c>
      <c r="BF193" s="88"/>
      <c r="BG193" s="88"/>
      <c r="BH193" s="88"/>
      <c r="BI193" s="88"/>
      <c r="BJ193" s="88"/>
      <c r="BK193" s="88"/>
      <c r="BL193" s="88"/>
      <c r="BM193" s="88"/>
      <c r="BN193" s="88"/>
      <c r="BO193" s="88"/>
      <c r="BP193" s="88"/>
      <c r="BQ193" s="88"/>
      <c r="BR193" s="88"/>
      <c r="BS193" s="88"/>
      <c r="BT193" s="88"/>
      <c r="BU193" s="88"/>
      <c r="BV193" s="88"/>
      <c r="BW193" s="88"/>
      <c r="BX193" s="88"/>
      <c r="BY193" s="88"/>
      <c r="BZ193" s="88"/>
      <c r="CA193" s="88"/>
      <c r="CB193" s="88"/>
      <c r="CC193" s="88"/>
      <c r="CD193" s="88"/>
      <c r="CE193" s="88"/>
      <c r="CF193" s="88"/>
      <c r="CG193" s="88"/>
      <c r="CH193" s="88"/>
      <c r="CI193" s="88"/>
      <c r="CJ193" s="88"/>
      <c r="CK193" s="88"/>
      <c r="CL193" s="88"/>
      <c r="CM193" s="88"/>
      <c r="CN193" s="88"/>
      <c r="CO193" s="88"/>
      <c r="CP193" s="88"/>
      <c r="CQ193" s="88"/>
      <c r="CR193" s="88"/>
      <c r="CS193" s="88"/>
      <c r="CT193" s="88"/>
      <c r="CU193" s="88"/>
      <c r="CV193" s="88"/>
      <c r="CW193" s="88"/>
      <c r="CX193" s="88"/>
      <c r="CY193" s="88"/>
      <c r="CZ193" s="88"/>
      <c r="DA193" s="88"/>
      <c r="DB193" s="88"/>
      <c r="DC193" s="88"/>
      <c r="DD193" s="88"/>
      <c r="DE193" s="88"/>
      <c r="DF193" s="88"/>
      <c r="DG193" s="88"/>
      <c r="DH193" s="88"/>
      <c r="DI193" s="88"/>
      <c r="DJ193" s="88"/>
      <c r="DK193" s="88"/>
      <c r="DL193" s="88"/>
      <c r="DM193" s="88"/>
      <c r="DN193" s="88"/>
      <c r="DO193" s="88"/>
      <c r="DP193" s="88"/>
      <c r="DQ193" s="88"/>
      <c r="DR193" s="88"/>
      <c r="DS193" s="88"/>
      <c r="DT193" s="88"/>
      <c r="DU193" s="89"/>
      <c r="DV193" s="89"/>
      <c r="DW193" s="89"/>
      <c r="DX193" s="89"/>
      <c r="DY193" s="89"/>
      <c r="DZ193" s="74"/>
      <c r="EA193" s="82"/>
    </row>
    <row r="194" ht="21.75" customHeight="1">
      <c r="A194" s="64"/>
      <c r="B194" s="70"/>
      <c r="C194" s="71"/>
      <c r="D194" s="71"/>
      <c r="E194" s="71"/>
      <c r="F194" s="78" t="s">
        <v>51</v>
      </c>
      <c r="G194" s="73"/>
      <c r="H194" s="73"/>
      <c r="I194" s="73"/>
      <c r="J194" s="73"/>
      <c r="K194" s="73"/>
      <c r="L194" s="73"/>
      <c r="M194" s="79">
        <f t="shared" ref="M194:O194" si="990">M195+M196</f>
        <v>4152.32171</v>
      </c>
      <c r="N194" s="79">
        <f t="shared" si="990"/>
        <v>0</v>
      </c>
      <c r="O194" s="79">
        <f t="shared" si="990"/>
        <v>4152.32171</v>
      </c>
      <c r="P194" s="73"/>
      <c r="Q194" s="73"/>
      <c r="R194" s="73"/>
      <c r="S194" s="79">
        <f t="shared" ref="S194:U194" si="991">S195+S196</f>
        <v>1007.32901</v>
      </c>
      <c r="T194" s="79">
        <f t="shared" si="991"/>
        <v>0</v>
      </c>
      <c r="U194" s="79">
        <f t="shared" si="991"/>
        <v>1007.32901</v>
      </c>
      <c r="V194" s="73"/>
      <c r="W194" s="73"/>
      <c r="X194" s="73"/>
      <c r="Y194" s="79">
        <f t="shared" ref="Y194:AA194" si="992">Y195+Y196</f>
        <v>674.70745</v>
      </c>
      <c r="Z194" s="79">
        <f t="shared" si="992"/>
        <v>0</v>
      </c>
      <c r="AA194" s="79">
        <f t="shared" si="992"/>
        <v>674.70745</v>
      </c>
      <c r="AB194" s="73"/>
      <c r="AC194" s="73"/>
      <c r="AD194" s="73"/>
      <c r="AE194" s="79">
        <f t="shared" ref="AE194:AG194" si="993">M194+S194+Y194</f>
        <v>5834.35817</v>
      </c>
      <c r="AF194" s="79">
        <f t="shared" si="993"/>
        <v>0</v>
      </c>
      <c r="AG194" s="79">
        <f t="shared" si="993"/>
        <v>5834.35817</v>
      </c>
      <c r="AH194" s="88"/>
      <c r="AI194" s="88"/>
      <c r="AJ194" s="88"/>
      <c r="AK194" s="79">
        <f t="shared" ref="AK194:AM194" si="994">AK195+AK196</f>
        <v>1211</v>
      </c>
      <c r="AL194" s="79">
        <f t="shared" si="994"/>
        <v>0</v>
      </c>
      <c r="AM194" s="79">
        <f t="shared" si="994"/>
        <v>1211</v>
      </c>
      <c r="AN194" s="73"/>
      <c r="AO194" s="73"/>
      <c r="AP194" s="73"/>
      <c r="AQ194" s="79">
        <f t="shared" ref="AQ194:AS194" si="995">AE194+AK194</f>
        <v>7045.35817</v>
      </c>
      <c r="AR194" s="79">
        <f t="shared" si="995"/>
        <v>0</v>
      </c>
      <c r="AS194" s="79">
        <f t="shared" si="995"/>
        <v>7045.35817</v>
      </c>
      <c r="AT194" s="73"/>
      <c r="AU194" s="73"/>
      <c r="AV194" s="73"/>
      <c r="AW194" s="79">
        <f t="shared" ref="AW194:AY194" si="996">AW195+AW196</f>
        <v>10639.44533</v>
      </c>
      <c r="AX194" s="79">
        <f t="shared" si="996"/>
        <v>863.055</v>
      </c>
      <c r="AY194" s="79">
        <f t="shared" si="996"/>
        <v>9776.39033</v>
      </c>
      <c r="AZ194" s="73"/>
      <c r="BA194" s="73"/>
      <c r="BB194" s="73"/>
      <c r="BC194" s="79">
        <f t="shared" ref="BC194:BE194" si="997">AQ194+AW194</f>
        <v>17684.8035</v>
      </c>
      <c r="BD194" s="79">
        <f t="shared" si="997"/>
        <v>863.055</v>
      </c>
      <c r="BE194" s="79">
        <f t="shared" si="997"/>
        <v>16821.7485</v>
      </c>
      <c r="BF194" s="88"/>
      <c r="BG194" s="88"/>
      <c r="BH194" s="88"/>
      <c r="BI194" s="88"/>
      <c r="BJ194" s="88"/>
      <c r="BK194" s="88"/>
      <c r="BL194" s="88"/>
      <c r="BM194" s="88"/>
      <c r="BN194" s="88"/>
      <c r="BO194" s="88"/>
      <c r="BP194" s="88"/>
      <c r="BQ194" s="88"/>
      <c r="BR194" s="88"/>
      <c r="BS194" s="88"/>
      <c r="BT194" s="88"/>
      <c r="BU194" s="88"/>
      <c r="BV194" s="88"/>
      <c r="BW194" s="88"/>
      <c r="BX194" s="88"/>
      <c r="BY194" s="88"/>
      <c r="BZ194" s="88"/>
      <c r="CA194" s="88"/>
      <c r="CB194" s="88"/>
      <c r="CC194" s="88"/>
      <c r="CD194" s="88"/>
      <c r="CE194" s="88"/>
      <c r="CF194" s="88"/>
      <c r="CG194" s="88"/>
      <c r="CH194" s="88"/>
      <c r="CI194" s="88"/>
      <c r="CJ194" s="88"/>
      <c r="CK194" s="88"/>
      <c r="CL194" s="88"/>
      <c r="CM194" s="88"/>
      <c r="CN194" s="88"/>
      <c r="CO194" s="88"/>
      <c r="CP194" s="88"/>
      <c r="CQ194" s="88"/>
      <c r="CR194" s="88"/>
      <c r="CS194" s="88"/>
      <c r="CT194" s="88"/>
      <c r="CU194" s="88"/>
      <c r="CV194" s="88"/>
      <c r="CW194" s="88"/>
      <c r="CX194" s="88"/>
      <c r="CY194" s="88"/>
      <c r="CZ194" s="88"/>
      <c r="DA194" s="88"/>
      <c r="DB194" s="88"/>
      <c r="DC194" s="88"/>
      <c r="DD194" s="88"/>
      <c r="DE194" s="88"/>
      <c r="DF194" s="88"/>
      <c r="DG194" s="88"/>
      <c r="DH194" s="88"/>
      <c r="DI194" s="88"/>
      <c r="DJ194" s="88"/>
      <c r="DK194" s="88"/>
      <c r="DL194" s="88"/>
      <c r="DM194" s="88"/>
      <c r="DN194" s="88"/>
      <c r="DO194" s="88"/>
      <c r="DP194" s="88"/>
      <c r="DQ194" s="88"/>
      <c r="DR194" s="88"/>
      <c r="DS194" s="88"/>
      <c r="DT194" s="88"/>
      <c r="DU194" s="89"/>
      <c r="DV194" s="89"/>
      <c r="DW194" s="89"/>
      <c r="DX194" s="89"/>
      <c r="DY194" s="89"/>
      <c r="DZ194" s="74"/>
      <c r="EA194" s="76"/>
    </row>
    <row r="195" ht="21.75" customHeight="1">
      <c r="A195" s="64"/>
      <c r="B195" s="70"/>
      <c r="C195" s="71"/>
      <c r="D195" s="71"/>
      <c r="E195" s="71"/>
      <c r="F195" s="81" t="s">
        <v>47</v>
      </c>
      <c r="G195" s="73"/>
      <c r="H195" s="73"/>
      <c r="I195" s="73"/>
      <c r="J195" s="73"/>
      <c r="K195" s="73"/>
      <c r="L195" s="73"/>
      <c r="M195" s="73">
        <v>0.0</v>
      </c>
      <c r="N195" s="73">
        <v>0.0</v>
      </c>
      <c r="O195" s="73">
        <v>0.0</v>
      </c>
      <c r="P195" s="73"/>
      <c r="Q195" s="73"/>
      <c r="R195" s="73"/>
      <c r="S195" s="73">
        <v>543.30465</v>
      </c>
      <c r="T195" s="73">
        <v>0.0</v>
      </c>
      <c r="U195" s="73">
        <v>543.30465</v>
      </c>
      <c r="V195" s="73"/>
      <c r="W195" s="73"/>
      <c r="X195" s="73"/>
      <c r="Y195" s="73">
        <v>415.2</v>
      </c>
      <c r="Z195" s="73">
        <v>0.0</v>
      </c>
      <c r="AA195" s="73">
        <v>415.2</v>
      </c>
      <c r="AB195" s="73"/>
      <c r="AC195" s="73"/>
      <c r="AD195" s="73"/>
      <c r="AE195" s="73">
        <f t="shared" ref="AE195:AG195" si="998">M195+S195+Y195</f>
        <v>958.50465</v>
      </c>
      <c r="AF195" s="73">
        <f t="shared" si="998"/>
        <v>0</v>
      </c>
      <c r="AG195" s="73">
        <f t="shared" si="998"/>
        <v>958.50465</v>
      </c>
      <c r="AH195" s="88"/>
      <c r="AI195" s="88"/>
      <c r="AJ195" s="88"/>
      <c r="AK195" s="73">
        <v>588.2</v>
      </c>
      <c r="AL195" s="73">
        <v>0.0</v>
      </c>
      <c r="AM195" s="73">
        <v>588.2</v>
      </c>
      <c r="AN195" s="73"/>
      <c r="AO195" s="73"/>
      <c r="AP195" s="73"/>
      <c r="AQ195" s="73">
        <f t="shared" ref="AQ195:AS195" si="999">AE195+AK195</f>
        <v>1546.70465</v>
      </c>
      <c r="AR195" s="73">
        <f t="shared" si="999"/>
        <v>0</v>
      </c>
      <c r="AS195" s="73">
        <f t="shared" si="999"/>
        <v>1546.70465</v>
      </c>
      <c r="AT195" s="73"/>
      <c r="AU195" s="73"/>
      <c r="AV195" s="73"/>
      <c r="AW195" s="73">
        <v>198.95</v>
      </c>
      <c r="AX195" s="73">
        <v>0.0</v>
      </c>
      <c r="AY195" s="73">
        <v>198.95</v>
      </c>
      <c r="AZ195" s="73"/>
      <c r="BA195" s="73"/>
      <c r="BB195" s="73"/>
      <c r="BC195" s="73">
        <f t="shared" ref="BC195:BE195" si="1000">AQ195+AW195</f>
        <v>1745.65465</v>
      </c>
      <c r="BD195" s="73">
        <f t="shared" si="1000"/>
        <v>0</v>
      </c>
      <c r="BE195" s="73">
        <f t="shared" si="1000"/>
        <v>1745.65465</v>
      </c>
      <c r="BF195" s="88"/>
      <c r="BG195" s="88"/>
      <c r="BH195" s="88"/>
      <c r="BI195" s="88"/>
      <c r="BJ195" s="88"/>
      <c r="BK195" s="88"/>
      <c r="BL195" s="88"/>
      <c r="BM195" s="88"/>
      <c r="BN195" s="88"/>
      <c r="BO195" s="88"/>
      <c r="BP195" s="88"/>
      <c r="BQ195" s="88"/>
      <c r="BR195" s="88"/>
      <c r="BS195" s="88"/>
      <c r="BT195" s="88"/>
      <c r="BU195" s="88"/>
      <c r="BV195" s="88"/>
      <c r="BW195" s="88"/>
      <c r="BX195" s="88"/>
      <c r="BY195" s="88"/>
      <c r="BZ195" s="88"/>
      <c r="CA195" s="88"/>
      <c r="CB195" s="88"/>
      <c r="CC195" s="88"/>
      <c r="CD195" s="88"/>
      <c r="CE195" s="88"/>
      <c r="CF195" s="88"/>
      <c r="CG195" s="88"/>
      <c r="CH195" s="88"/>
      <c r="CI195" s="88"/>
      <c r="CJ195" s="88"/>
      <c r="CK195" s="88"/>
      <c r="CL195" s="88"/>
      <c r="CM195" s="88"/>
      <c r="CN195" s="88"/>
      <c r="CO195" s="88"/>
      <c r="CP195" s="88"/>
      <c r="CQ195" s="88"/>
      <c r="CR195" s="88"/>
      <c r="CS195" s="88"/>
      <c r="CT195" s="88"/>
      <c r="CU195" s="88"/>
      <c r="CV195" s="88"/>
      <c r="CW195" s="88"/>
      <c r="CX195" s="88"/>
      <c r="CY195" s="88"/>
      <c r="CZ195" s="88"/>
      <c r="DA195" s="88"/>
      <c r="DB195" s="88"/>
      <c r="DC195" s="88"/>
      <c r="DD195" s="88"/>
      <c r="DE195" s="88"/>
      <c r="DF195" s="88"/>
      <c r="DG195" s="88"/>
      <c r="DH195" s="88"/>
      <c r="DI195" s="88"/>
      <c r="DJ195" s="88"/>
      <c r="DK195" s="88"/>
      <c r="DL195" s="88"/>
      <c r="DM195" s="88"/>
      <c r="DN195" s="88"/>
      <c r="DO195" s="88"/>
      <c r="DP195" s="88"/>
      <c r="DQ195" s="88"/>
      <c r="DR195" s="88"/>
      <c r="DS195" s="88"/>
      <c r="DT195" s="88"/>
      <c r="DU195" s="89"/>
      <c r="DV195" s="89"/>
      <c r="DW195" s="89"/>
      <c r="DX195" s="89"/>
      <c r="DY195" s="89"/>
      <c r="DZ195" s="74"/>
      <c r="EA195" s="76"/>
    </row>
    <row r="196" ht="21.75" customHeight="1">
      <c r="A196" s="64"/>
      <c r="B196" s="70"/>
      <c r="C196" s="71"/>
      <c r="D196" s="71"/>
      <c r="E196" s="71"/>
      <c r="F196" s="81" t="s">
        <v>52</v>
      </c>
      <c r="G196" s="73"/>
      <c r="H196" s="73"/>
      <c r="I196" s="73"/>
      <c r="J196" s="73"/>
      <c r="K196" s="73"/>
      <c r="L196" s="73"/>
      <c r="M196" s="73">
        <f t="shared" ref="M196:M198" si="1004">N196+O196</f>
        <v>4152.32171</v>
      </c>
      <c r="N196" s="73">
        <v>0.0</v>
      </c>
      <c r="O196" s="73">
        <v>4152.32171</v>
      </c>
      <c r="P196" s="73"/>
      <c r="Q196" s="73"/>
      <c r="R196" s="73"/>
      <c r="S196" s="73">
        <f t="shared" ref="S196:S198" si="1005">T196+U196</f>
        <v>464.02436</v>
      </c>
      <c r="T196" s="73">
        <v>0.0</v>
      </c>
      <c r="U196" s="73">
        <v>464.02436</v>
      </c>
      <c r="V196" s="73"/>
      <c r="W196" s="73"/>
      <c r="X196" s="73"/>
      <c r="Y196" s="73">
        <f>259.5+0.00745</f>
        <v>259.50745</v>
      </c>
      <c r="Z196" s="73">
        <v>0.0</v>
      </c>
      <c r="AA196" s="73">
        <f>259.5+0.00745</f>
        <v>259.50745</v>
      </c>
      <c r="AB196" s="73"/>
      <c r="AC196" s="73"/>
      <c r="AD196" s="73"/>
      <c r="AE196" s="73">
        <f t="shared" ref="AE196:AG196" si="1001">M196+S196+Y196</f>
        <v>4875.85352</v>
      </c>
      <c r="AF196" s="73">
        <f t="shared" si="1001"/>
        <v>0</v>
      </c>
      <c r="AG196" s="73">
        <f t="shared" si="1001"/>
        <v>4875.85352</v>
      </c>
      <c r="AH196" s="73"/>
      <c r="AI196" s="73"/>
      <c r="AJ196" s="73"/>
      <c r="AK196" s="73">
        <v>622.8</v>
      </c>
      <c r="AL196" s="73">
        <v>0.0</v>
      </c>
      <c r="AM196" s="73">
        <v>622.8</v>
      </c>
      <c r="AN196" s="73"/>
      <c r="AO196" s="73"/>
      <c r="AP196" s="73"/>
      <c r="AQ196" s="73">
        <f t="shared" ref="AQ196:AS196" si="1002">AE196+AK196</f>
        <v>5498.65352</v>
      </c>
      <c r="AR196" s="73">
        <f t="shared" si="1002"/>
        <v>0</v>
      </c>
      <c r="AS196" s="73">
        <f t="shared" si="1002"/>
        <v>5498.65352</v>
      </c>
      <c r="AT196" s="73"/>
      <c r="AU196" s="73"/>
      <c r="AV196" s="73"/>
      <c r="AW196" s="99">
        <f>AX196+AY196</f>
        <v>10440.49533</v>
      </c>
      <c r="AX196" s="100">
        <v>863.055</v>
      </c>
      <c r="AY196" s="99">
        <f>4212.55684+4586.38349+778.5</f>
        <v>9577.44033</v>
      </c>
      <c r="AZ196" s="73"/>
      <c r="BA196" s="73"/>
      <c r="BB196" s="73"/>
      <c r="BC196" s="99">
        <f t="shared" ref="BC196:BE196" si="1003">AQ196+AW196</f>
        <v>15939.14885</v>
      </c>
      <c r="BD196" s="100">
        <f t="shared" si="1003"/>
        <v>863.055</v>
      </c>
      <c r="BE196" s="99">
        <f t="shared" si="1003"/>
        <v>15076.09385</v>
      </c>
      <c r="BF196" s="73"/>
      <c r="BG196" s="73"/>
      <c r="BH196" s="73"/>
      <c r="BI196" s="73"/>
      <c r="BJ196" s="73"/>
      <c r="BK196" s="73"/>
      <c r="BL196" s="73"/>
      <c r="BM196" s="73"/>
      <c r="BN196" s="73"/>
      <c r="BO196" s="73"/>
      <c r="BP196" s="73"/>
      <c r="BQ196" s="73"/>
      <c r="BR196" s="73"/>
      <c r="BS196" s="73"/>
      <c r="BT196" s="73"/>
      <c r="BU196" s="73"/>
      <c r="BV196" s="73"/>
      <c r="BW196" s="73"/>
      <c r="BX196" s="73"/>
      <c r="BY196" s="73"/>
      <c r="BZ196" s="73"/>
      <c r="CA196" s="73"/>
      <c r="CB196" s="73"/>
      <c r="CC196" s="73"/>
      <c r="CD196" s="73"/>
      <c r="CE196" s="73"/>
      <c r="CF196" s="73"/>
      <c r="CG196" s="73"/>
      <c r="CH196" s="73"/>
      <c r="CI196" s="73"/>
      <c r="CJ196" s="73"/>
      <c r="CK196" s="73"/>
      <c r="CL196" s="73"/>
      <c r="CM196" s="73"/>
      <c r="CN196" s="73"/>
      <c r="CO196" s="73"/>
      <c r="CP196" s="73"/>
      <c r="CQ196" s="73"/>
      <c r="CR196" s="73"/>
      <c r="CS196" s="73"/>
      <c r="CT196" s="73"/>
      <c r="CU196" s="73"/>
      <c r="CV196" s="73"/>
      <c r="CW196" s="73"/>
      <c r="CX196" s="73"/>
      <c r="CY196" s="73"/>
      <c r="CZ196" s="73"/>
      <c r="DA196" s="73"/>
      <c r="DB196" s="73"/>
      <c r="DC196" s="73"/>
      <c r="DD196" s="73"/>
      <c r="DE196" s="73"/>
      <c r="DF196" s="73"/>
      <c r="DG196" s="73"/>
      <c r="DH196" s="73"/>
      <c r="DI196" s="73"/>
      <c r="DJ196" s="73"/>
      <c r="DK196" s="73"/>
      <c r="DL196" s="73"/>
      <c r="DM196" s="73"/>
      <c r="DN196" s="73"/>
      <c r="DO196" s="73"/>
      <c r="DP196" s="73"/>
      <c r="DQ196" s="73"/>
      <c r="DR196" s="73"/>
      <c r="DS196" s="73"/>
      <c r="DT196" s="73"/>
      <c r="DU196" s="74"/>
      <c r="DV196" s="74"/>
      <c r="DW196" s="72"/>
      <c r="DX196" s="72"/>
      <c r="DY196" s="72"/>
      <c r="DZ196" s="96"/>
      <c r="EA196" s="76" t="s">
        <v>152</v>
      </c>
    </row>
    <row r="197" ht="21.75" customHeight="1">
      <c r="A197" s="64"/>
      <c r="B197" s="92"/>
      <c r="C197" s="72"/>
      <c r="D197" s="71"/>
      <c r="E197" s="71"/>
      <c r="F197" s="78" t="s">
        <v>53</v>
      </c>
      <c r="G197" s="73"/>
      <c r="H197" s="73"/>
      <c r="I197" s="73"/>
      <c r="J197" s="73"/>
      <c r="K197" s="73"/>
      <c r="L197" s="73"/>
      <c r="M197" s="79">
        <f t="shared" si="1004"/>
        <v>0</v>
      </c>
      <c r="N197" s="79">
        <v>0.0</v>
      </c>
      <c r="O197" s="79">
        <v>0.0</v>
      </c>
      <c r="P197" s="79"/>
      <c r="Q197" s="79"/>
      <c r="R197" s="79"/>
      <c r="S197" s="79">
        <f t="shared" si="1005"/>
        <v>0</v>
      </c>
      <c r="T197" s="79">
        <v>0.0</v>
      </c>
      <c r="U197" s="79">
        <v>0.0</v>
      </c>
      <c r="V197" s="79"/>
      <c r="W197" s="79"/>
      <c r="X197" s="79"/>
      <c r="Y197" s="79">
        <f t="shared" ref="Y197:Y198" si="1009">Z197+AA197</f>
        <v>0</v>
      </c>
      <c r="Z197" s="79">
        <v>0.0</v>
      </c>
      <c r="AA197" s="79">
        <v>0.0</v>
      </c>
      <c r="AB197" s="79"/>
      <c r="AC197" s="79"/>
      <c r="AD197" s="79"/>
      <c r="AE197" s="79">
        <f t="shared" ref="AE197:AG197" si="1006">M197+S197+Y197</f>
        <v>0</v>
      </c>
      <c r="AF197" s="79">
        <f t="shared" si="1006"/>
        <v>0</v>
      </c>
      <c r="AG197" s="79">
        <f t="shared" si="1006"/>
        <v>0</v>
      </c>
      <c r="AH197" s="73"/>
      <c r="AI197" s="73"/>
      <c r="AJ197" s="73"/>
      <c r="AK197" s="79">
        <f t="shared" ref="AK197:AK198" si="1011">AL197+AM197</f>
        <v>7771.01405</v>
      </c>
      <c r="AL197" s="79">
        <v>0.0</v>
      </c>
      <c r="AM197" s="79">
        <v>7771.01405</v>
      </c>
      <c r="AN197" s="73"/>
      <c r="AO197" s="73"/>
      <c r="AP197" s="73"/>
      <c r="AQ197" s="79">
        <f t="shared" ref="AQ197:AS197" si="1007">AE197+AK197</f>
        <v>7771.01405</v>
      </c>
      <c r="AR197" s="79">
        <f t="shared" si="1007"/>
        <v>0</v>
      </c>
      <c r="AS197" s="79">
        <f t="shared" si="1007"/>
        <v>7771.01405</v>
      </c>
      <c r="AT197" s="73"/>
      <c r="AU197" s="73"/>
      <c r="AV197" s="73"/>
      <c r="AW197" s="79">
        <v>0.0</v>
      </c>
      <c r="AX197" s="79">
        <v>0.0</v>
      </c>
      <c r="AY197" s="79">
        <v>0.0</v>
      </c>
      <c r="AZ197" s="73"/>
      <c r="BA197" s="73"/>
      <c r="BB197" s="73"/>
      <c r="BC197" s="79">
        <f t="shared" ref="BC197:BE197" si="1008">AQ197+AW197</f>
        <v>7771.01405</v>
      </c>
      <c r="BD197" s="79">
        <f t="shared" si="1008"/>
        <v>0</v>
      </c>
      <c r="BE197" s="79">
        <f t="shared" si="1008"/>
        <v>7771.01405</v>
      </c>
      <c r="BF197" s="73"/>
      <c r="BG197" s="73"/>
      <c r="BH197" s="73"/>
      <c r="BI197" s="73"/>
      <c r="BJ197" s="73"/>
      <c r="BK197" s="73"/>
      <c r="BL197" s="73"/>
      <c r="BM197" s="73"/>
      <c r="BN197" s="73"/>
      <c r="BO197" s="73"/>
      <c r="BP197" s="73"/>
      <c r="BQ197" s="73"/>
      <c r="BR197" s="73"/>
      <c r="BS197" s="73"/>
      <c r="BT197" s="73"/>
      <c r="BU197" s="73"/>
      <c r="BV197" s="73"/>
      <c r="BW197" s="73"/>
      <c r="BX197" s="73"/>
      <c r="BY197" s="73"/>
      <c r="BZ197" s="73"/>
      <c r="CA197" s="73"/>
      <c r="CB197" s="73"/>
      <c r="CC197" s="73"/>
      <c r="CD197" s="73"/>
      <c r="CE197" s="73"/>
      <c r="CF197" s="73"/>
      <c r="CG197" s="73"/>
      <c r="CH197" s="73"/>
      <c r="CI197" s="73"/>
      <c r="CJ197" s="73"/>
      <c r="CK197" s="73"/>
      <c r="CL197" s="73"/>
      <c r="CM197" s="73"/>
      <c r="CN197" s="73"/>
      <c r="CO197" s="73"/>
      <c r="CP197" s="73"/>
      <c r="CQ197" s="73"/>
      <c r="CR197" s="73"/>
      <c r="CS197" s="73"/>
      <c r="CT197" s="73"/>
      <c r="CU197" s="73"/>
      <c r="CV197" s="73"/>
      <c r="CW197" s="73"/>
      <c r="CX197" s="73"/>
      <c r="CY197" s="73"/>
      <c r="CZ197" s="73"/>
      <c r="DA197" s="73"/>
      <c r="DB197" s="73"/>
      <c r="DC197" s="73"/>
      <c r="DD197" s="73"/>
      <c r="DE197" s="73"/>
      <c r="DF197" s="73"/>
      <c r="DG197" s="73"/>
      <c r="DH197" s="73"/>
      <c r="DI197" s="73"/>
      <c r="DJ197" s="73"/>
      <c r="DK197" s="73"/>
      <c r="DL197" s="73"/>
      <c r="DM197" s="73"/>
      <c r="DN197" s="73"/>
      <c r="DO197" s="73"/>
      <c r="DP197" s="73"/>
      <c r="DQ197" s="73"/>
      <c r="DR197" s="73"/>
      <c r="DS197" s="73"/>
      <c r="DT197" s="73"/>
      <c r="DU197" s="74"/>
      <c r="DV197" s="74"/>
      <c r="DW197" s="72"/>
      <c r="DX197" s="72"/>
      <c r="DY197" s="72"/>
      <c r="DZ197" s="75"/>
      <c r="EA197" s="76" t="s">
        <v>153</v>
      </c>
    </row>
    <row r="198" ht="21.75" customHeight="1">
      <c r="A198" s="64"/>
      <c r="B198" s="92"/>
      <c r="C198" s="72"/>
      <c r="D198" s="71"/>
      <c r="E198" s="71"/>
      <c r="F198" s="78" t="s">
        <v>55</v>
      </c>
      <c r="G198" s="73"/>
      <c r="H198" s="73"/>
      <c r="I198" s="73"/>
      <c r="J198" s="73"/>
      <c r="K198" s="73"/>
      <c r="L198" s="73"/>
      <c r="M198" s="79">
        <f t="shared" si="1004"/>
        <v>0</v>
      </c>
      <c r="N198" s="79">
        <v>0.0</v>
      </c>
      <c r="O198" s="79">
        <v>0.0</v>
      </c>
      <c r="P198" s="79"/>
      <c r="Q198" s="79"/>
      <c r="R198" s="79"/>
      <c r="S198" s="79">
        <f t="shared" si="1005"/>
        <v>0</v>
      </c>
      <c r="T198" s="79">
        <v>0.0</v>
      </c>
      <c r="U198" s="79">
        <v>0.0</v>
      </c>
      <c r="V198" s="79"/>
      <c r="W198" s="79"/>
      <c r="X198" s="79"/>
      <c r="Y198" s="79">
        <f t="shared" si="1009"/>
        <v>0</v>
      </c>
      <c r="Z198" s="79">
        <v>0.0</v>
      </c>
      <c r="AA198" s="79">
        <v>0.0</v>
      </c>
      <c r="AB198" s="79"/>
      <c r="AC198" s="79"/>
      <c r="AD198" s="79"/>
      <c r="AE198" s="79">
        <f t="shared" ref="AE198:AG198" si="1010">M198+S198+Y198</f>
        <v>0</v>
      </c>
      <c r="AF198" s="79">
        <f t="shared" si="1010"/>
        <v>0</v>
      </c>
      <c r="AG198" s="79">
        <f t="shared" si="1010"/>
        <v>0</v>
      </c>
      <c r="AH198" s="73"/>
      <c r="AI198" s="73"/>
      <c r="AJ198" s="73"/>
      <c r="AK198" s="79">
        <f t="shared" si="1011"/>
        <v>0</v>
      </c>
      <c r="AL198" s="79">
        <v>0.0</v>
      </c>
      <c r="AM198" s="79">
        <v>0.0</v>
      </c>
      <c r="AN198" s="73"/>
      <c r="AO198" s="73"/>
      <c r="AP198" s="73"/>
      <c r="AQ198" s="79">
        <f t="shared" ref="AQ198:AS198" si="1012">AE198+AK198</f>
        <v>0</v>
      </c>
      <c r="AR198" s="79">
        <f t="shared" si="1012"/>
        <v>0</v>
      </c>
      <c r="AS198" s="79">
        <f t="shared" si="1012"/>
        <v>0</v>
      </c>
      <c r="AT198" s="73"/>
      <c r="AU198" s="73"/>
      <c r="AV198" s="73"/>
      <c r="AW198" s="79">
        <v>200.22795</v>
      </c>
      <c r="AX198" s="79">
        <v>0.0</v>
      </c>
      <c r="AY198" s="79">
        <v>200.22795</v>
      </c>
      <c r="AZ198" s="73"/>
      <c r="BA198" s="73"/>
      <c r="BB198" s="73"/>
      <c r="BC198" s="79">
        <f t="shared" ref="BC198:BE198" si="1013">AQ198+AW198</f>
        <v>200.22795</v>
      </c>
      <c r="BD198" s="79">
        <f t="shared" si="1013"/>
        <v>0</v>
      </c>
      <c r="BE198" s="79">
        <f t="shared" si="1013"/>
        <v>200.22795</v>
      </c>
      <c r="BF198" s="73"/>
      <c r="BG198" s="73"/>
      <c r="BH198" s="73"/>
      <c r="BI198" s="73"/>
      <c r="BJ198" s="73"/>
      <c r="BK198" s="73"/>
      <c r="BL198" s="73"/>
      <c r="BM198" s="73"/>
      <c r="BN198" s="73"/>
      <c r="BO198" s="73"/>
      <c r="BP198" s="73"/>
      <c r="BQ198" s="73"/>
      <c r="BR198" s="73"/>
      <c r="BS198" s="73"/>
      <c r="BT198" s="73"/>
      <c r="BU198" s="73"/>
      <c r="BV198" s="73"/>
      <c r="BW198" s="73"/>
      <c r="BX198" s="73"/>
      <c r="BY198" s="73"/>
      <c r="BZ198" s="73"/>
      <c r="CA198" s="73"/>
      <c r="CB198" s="73"/>
      <c r="CC198" s="73"/>
      <c r="CD198" s="73"/>
      <c r="CE198" s="73"/>
      <c r="CF198" s="73"/>
      <c r="CG198" s="73"/>
      <c r="CH198" s="73"/>
      <c r="CI198" s="73"/>
      <c r="CJ198" s="73"/>
      <c r="CK198" s="73"/>
      <c r="CL198" s="73"/>
      <c r="CM198" s="73"/>
      <c r="CN198" s="73"/>
      <c r="CO198" s="73"/>
      <c r="CP198" s="73"/>
      <c r="CQ198" s="73"/>
      <c r="CR198" s="73"/>
      <c r="CS198" s="73"/>
      <c r="CT198" s="73"/>
      <c r="CU198" s="73"/>
      <c r="CV198" s="73"/>
      <c r="CW198" s="73"/>
      <c r="CX198" s="73"/>
      <c r="CY198" s="73"/>
      <c r="CZ198" s="73"/>
      <c r="DA198" s="73"/>
      <c r="DB198" s="73"/>
      <c r="DC198" s="73"/>
      <c r="DD198" s="73"/>
      <c r="DE198" s="73"/>
      <c r="DF198" s="73"/>
      <c r="DG198" s="73"/>
      <c r="DH198" s="73"/>
      <c r="DI198" s="73"/>
      <c r="DJ198" s="73"/>
      <c r="DK198" s="73"/>
      <c r="DL198" s="73"/>
      <c r="DM198" s="73"/>
      <c r="DN198" s="73"/>
      <c r="DO198" s="73"/>
      <c r="DP198" s="73"/>
      <c r="DQ198" s="73"/>
      <c r="DR198" s="73"/>
      <c r="DS198" s="73"/>
      <c r="DT198" s="73"/>
      <c r="DU198" s="74"/>
      <c r="DV198" s="74"/>
      <c r="DW198" s="72"/>
      <c r="DX198" s="72"/>
      <c r="DY198" s="72"/>
      <c r="DZ198" s="75"/>
      <c r="EA198" s="76" t="s">
        <v>154</v>
      </c>
    </row>
    <row r="199" ht="21.75" customHeight="1">
      <c r="A199" s="64"/>
      <c r="B199" s="70" t="s">
        <v>40</v>
      </c>
      <c r="C199" s="71" t="s">
        <v>155</v>
      </c>
      <c r="D199" s="71" t="s">
        <v>41</v>
      </c>
      <c r="E199" s="71" t="s">
        <v>102</v>
      </c>
      <c r="F199" s="72" t="s">
        <v>156</v>
      </c>
      <c r="G199" s="73">
        <v>198784.0</v>
      </c>
      <c r="H199" s="73">
        <v>0.0</v>
      </c>
      <c r="I199" s="73">
        <v>198784.0</v>
      </c>
      <c r="J199" s="73">
        <f t="shared" ref="J199:L199" si="1014">J200+J202+J205</f>
        <v>0</v>
      </c>
      <c r="K199" s="73">
        <f t="shared" si="1014"/>
        <v>0</v>
      </c>
      <c r="L199" s="73">
        <f t="shared" si="1014"/>
        <v>0</v>
      </c>
      <c r="M199" s="73">
        <f t="shared" ref="M199:O199" si="1015">M200+M202+M205+M208+M209</f>
        <v>4218.29123</v>
      </c>
      <c r="N199" s="73">
        <f t="shared" si="1015"/>
        <v>0</v>
      </c>
      <c r="O199" s="73">
        <f t="shared" si="1015"/>
        <v>4218.29123</v>
      </c>
      <c r="P199" s="73">
        <f t="shared" ref="P199:R199" si="1016">P200+P202+P205</f>
        <v>0</v>
      </c>
      <c r="Q199" s="73">
        <f t="shared" si="1016"/>
        <v>0</v>
      </c>
      <c r="R199" s="73">
        <f t="shared" si="1016"/>
        <v>0</v>
      </c>
      <c r="S199" s="73">
        <f t="shared" ref="S199:U199" si="1017">S200+S202+S205+S208+S209</f>
        <v>5775.42737</v>
      </c>
      <c r="T199" s="73">
        <f t="shared" si="1017"/>
        <v>0</v>
      </c>
      <c r="U199" s="73">
        <f t="shared" si="1017"/>
        <v>5775.42737</v>
      </c>
      <c r="V199" s="73">
        <v>253.0</v>
      </c>
      <c r="W199" s="73">
        <f>W200+W202+W205</f>
        <v>0</v>
      </c>
      <c r="X199" s="73">
        <v>253.0</v>
      </c>
      <c r="Y199" s="73">
        <f t="shared" ref="Y199:AA199" si="1018">Y200+Y202+Y205+Y208+Y209</f>
        <v>26928.59729</v>
      </c>
      <c r="Z199" s="73">
        <f t="shared" si="1018"/>
        <v>0</v>
      </c>
      <c r="AA199" s="73">
        <f t="shared" si="1018"/>
        <v>26928.59729</v>
      </c>
      <c r="AB199" s="73">
        <f t="shared" ref="AB199:AG199" si="1019">J199+P199+V199</f>
        <v>253</v>
      </c>
      <c r="AC199" s="73">
        <f t="shared" si="1019"/>
        <v>0</v>
      </c>
      <c r="AD199" s="73">
        <f t="shared" si="1019"/>
        <v>253</v>
      </c>
      <c r="AE199" s="73">
        <f t="shared" si="1019"/>
        <v>36922.31589</v>
      </c>
      <c r="AF199" s="73">
        <f t="shared" si="1019"/>
        <v>0</v>
      </c>
      <c r="AG199" s="73">
        <f t="shared" si="1019"/>
        <v>36922.31589</v>
      </c>
      <c r="AH199" s="73">
        <v>856.0</v>
      </c>
      <c r="AI199" s="73">
        <v>0.0</v>
      </c>
      <c r="AJ199" s="73">
        <v>856.0</v>
      </c>
      <c r="AK199" s="73">
        <f t="shared" ref="AK199:AM199" si="1020">AK200+AK202+AK205+AK208+AK209</f>
        <v>7397.30972</v>
      </c>
      <c r="AL199" s="73">
        <f t="shared" si="1020"/>
        <v>0</v>
      </c>
      <c r="AM199" s="73">
        <f t="shared" si="1020"/>
        <v>7397.30972</v>
      </c>
      <c r="AN199" s="73">
        <f t="shared" ref="AN199:AS199" si="1021">AB199+AH199</f>
        <v>1109</v>
      </c>
      <c r="AO199" s="73">
        <f t="shared" si="1021"/>
        <v>0</v>
      </c>
      <c r="AP199" s="73">
        <f t="shared" si="1021"/>
        <v>1109</v>
      </c>
      <c r="AQ199" s="73">
        <f t="shared" si="1021"/>
        <v>44319.62561</v>
      </c>
      <c r="AR199" s="73">
        <f t="shared" si="1021"/>
        <v>0</v>
      </c>
      <c r="AS199" s="73">
        <f t="shared" si="1021"/>
        <v>44319.62561</v>
      </c>
      <c r="AT199" s="73">
        <v>1285.0</v>
      </c>
      <c r="AU199" s="73">
        <f>AU200+AU202+AU205</f>
        <v>0</v>
      </c>
      <c r="AV199" s="73">
        <v>1285.0</v>
      </c>
      <c r="AW199" s="73">
        <f t="shared" ref="AW199:AY199" si="1022">AW200+AW202+AW205+AW208+AW209</f>
        <v>12616.13791</v>
      </c>
      <c r="AX199" s="73">
        <f t="shared" si="1022"/>
        <v>0</v>
      </c>
      <c r="AY199" s="73">
        <f t="shared" si="1022"/>
        <v>12616.13791</v>
      </c>
      <c r="AZ199" s="73">
        <f t="shared" ref="AZ199:BE199" si="1023">AN199+AT199</f>
        <v>2394</v>
      </c>
      <c r="BA199" s="73">
        <f t="shared" si="1023"/>
        <v>0</v>
      </c>
      <c r="BB199" s="73">
        <f t="shared" si="1023"/>
        <v>2394</v>
      </c>
      <c r="BC199" s="73">
        <f t="shared" si="1023"/>
        <v>56935.76352</v>
      </c>
      <c r="BD199" s="73">
        <f t="shared" si="1023"/>
        <v>0</v>
      </c>
      <c r="BE199" s="73">
        <f t="shared" si="1023"/>
        <v>56935.76352</v>
      </c>
      <c r="BF199" s="73">
        <f t="shared" ref="BF199:DY199" si="1024">BF200+BF202+BF205</f>
        <v>0</v>
      </c>
      <c r="BG199" s="73">
        <f t="shared" si="1024"/>
        <v>0</v>
      </c>
      <c r="BH199" s="73">
        <f t="shared" si="1024"/>
        <v>0</v>
      </c>
      <c r="BI199" s="73">
        <f t="shared" si="1024"/>
        <v>0</v>
      </c>
      <c r="BJ199" s="73">
        <f t="shared" si="1024"/>
        <v>0</v>
      </c>
      <c r="BK199" s="73">
        <f t="shared" si="1024"/>
        <v>0</v>
      </c>
      <c r="BL199" s="73">
        <f t="shared" si="1024"/>
        <v>0</v>
      </c>
      <c r="BM199" s="73">
        <f t="shared" si="1024"/>
        <v>0</v>
      </c>
      <c r="BN199" s="73">
        <f t="shared" si="1024"/>
        <v>0</v>
      </c>
      <c r="BO199" s="73">
        <f t="shared" si="1024"/>
        <v>0</v>
      </c>
      <c r="BP199" s="73">
        <f t="shared" si="1024"/>
        <v>0</v>
      </c>
      <c r="BQ199" s="73">
        <f t="shared" si="1024"/>
        <v>0</v>
      </c>
      <c r="BR199" s="73">
        <f t="shared" si="1024"/>
        <v>0</v>
      </c>
      <c r="BS199" s="73">
        <f t="shared" si="1024"/>
        <v>0</v>
      </c>
      <c r="BT199" s="73">
        <f t="shared" si="1024"/>
        <v>0</v>
      </c>
      <c r="BU199" s="73">
        <f t="shared" si="1024"/>
        <v>0</v>
      </c>
      <c r="BV199" s="73">
        <f t="shared" si="1024"/>
        <v>0</v>
      </c>
      <c r="BW199" s="73">
        <f t="shared" si="1024"/>
        <v>0</v>
      </c>
      <c r="BX199" s="73">
        <f t="shared" si="1024"/>
        <v>0</v>
      </c>
      <c r="BY199" s="73">
        <f t="shared" si="1024"/>
        <v>0</v>
      </c>
      <c r="BZ199" s="73">
        <f t="shared" si="1024"/>
        <v>0</v>
      </c>
      <c r="CA199" s="73">
        <f t="shared" si="1024"/>
        <v>0</v>
      </c>
      <c r="CB199" s="73">
        <f t="shared" si="1024"/>
        <v>0</v>
      </c>
      <c r="CC199" s="73">
        <f t="shared" si="1024"/>
        <v>0</v>
      </c>
      <c r="CD199" s="73">
        <f t="shared" si="1024"/>
        <v>0</v>
      </c>
      <c r="CE199" s="73">
        <f t="shared" si="1024"/>
        <v>0</v>
      </c>
      <c r="CF199" s="73">
        <f t="shared" si="1024"/>
        <v>0</v>
      </c>
      <c r="CG199" s="73">
        <f t="shared" si="1024"/>
        <v>0</v>
      </c>
      <c r="CH199" s="73">
        <f t="shared" si="1024"/>
        <v>0</v>
      </c>
      <c r="CI199" s="73">
        <f t="shared" si="1024"/>
        <v>0</v>
      </c>
      <c r="CJ199" s="73">
        <f t="shared" si="1024"/>
        <v>0</v>
      </c>
      <c r="CK199" s="73">
        <f t="shared" si="1024"/>
        <v>0</v>
      </c>
      <c r="CL199" s="73">
        <f t="shared" si="1024"/>
        <v>0</v>
      </c>
      <c r="CM199" s="73">
        <f t="shared" si="1024"/>
        <v>0</v>
      </c>
      <c r="CN199" s="73">
        <f t="shared" si="1024"/>
        <v>0</v>
      </c>
      <c r="CO199" s="73">
        <f t="shared" si="1024"/>
        <v>0</v>
      </c>
      <c r="CP199" s="73">
        <f t="shared" si="1024"/>
        <v>0</v>
      </c>
      <c r="CQ199" s="73">
        <f t="shared" si="1024"/>
        <v>0</v>
      </c>
      <c r="CR199" s="73">
        <f t="shared" si="1024"/>
        <v>0</v>
      </c>
      <c r="CS199" s="73">
        <f t="shared" si="1024"/>
        <v>0</v>
      </c>
      <c r="CT199" s="73">
        <f t="shared" si="1024"/>
        <v>0</v>
      </c>
      <c r="CU199" s="73">
        <f t="shared" si="1024"/>
        <v>0</v>
      </c>
      <c r="CV199" s="73">
        <f t="shared" si="1024"/>
        <v>0</v>
      </c>
      <c r="CW199" s="73">
        <f t="shared" si="1024"/>
        <v>0</v>
      </c>
      <c r="CX199" s="73">
        <f t="shared" si="1024"/>
        <v>0</v>
      </c>
      <c r="CY199" s="73">
        <f t="shared" si="1024"/>
        <v>0</v>
      </c>
      <c r="CZ199" s="73">
        <f t="shared" si="1024"/>
        <v>0</v>
      </c>
      <c r="DA199" s="73">
        <f t="shared" si="1024"/>
        <v>0</v>
      </c>
      <c r="DB199" s="73">
        <f t="shared" si="1024"/>
        <v>0</v>
      </c>
      <c r="DC199" s="73">
        <f t="shared" si="1024"/>
        <v>0</v>
      </c>
      <c r="DD199" s="73">
        <f t="shared" si="1024"/>
        <v>0</v>
      </c>
      <c r="DE199" s="73">
        <f t="shared" si="1024"/>
        <v>0</v>
      </c>
      <c r="DF199" s="73">
        <f t="shared" si="1024"/>
        <v>0</v>
      </c>
      <c r="DG199" s="73">
        <f t="shared" si="1024"/>
        <v>0</v>
      </c>
      <c r="DH199" s="73">
        <f t="shared" si="1024"/>
        <v>0</v>
      </c>
      <c r="DI199" s="73">
        <f t="shared" si="1024"/>
        <v>0</v>
      </c>
      <c r="DJ199" s="73">
        <f t="shared" si="1024"/>
        <v>0</v>
      </c>
      <c r="DK199" s="73">
        <f t="shared" si="1024"/>
        <v>0</v>
      </c>
      <c r="DL199" s="73">
        <f t="shared" si="1024"/>
        <v>0</v>
      </c>
      <c r="DM199" s="73">
        <f t="shared" si="1024"/>
        <v>0</v>
      </c>
      <c r="DN199" s="73">
        <f t="shared" si="1024"/>
        <v>0</v>
      </c>
      <c r="DO199" s="73">
        <f t="shared" si="1024"/>
        <v>0</v>
      </c>
      <c r="DP199" s="73">
        <f t="shared" si="1024"/>
        <v>0</v>
      </c>
      <c r="DQ199" s="73">
        <f t="shared" si="1024"/>
        <v>0</v>
      </c>
      <c r="DR199" s="73">
        <f t="shared" si="1024"/>
        <v>0</v>
      </c>
      <c r="DS199" s="73">
        <f t="shared" si="1024"/>
        <v>0</v>
      </c>
      <c r="DT199" s="73">
        <f t="shared" si="1024"/>
        <v>0</v>
      </c>
      <c r="DU199" s="73">
        <f t="shared" si="1024"/>
        <v>0</v>
      </c>
      <c r="DV199" s="73">
        <f t="shared" si="1024"/>
        <v>0</v>
      </c>
      <c r="DW199" s="73">
        <f t="shared" si="1024"/>
        <v>0</v>
      </c>
      <c r="DX199" s="73">
        <f t="shared" si="1024"/>
        <v>0</v>
      </c>
      <c r="DY199" s="73">
        <f t="shared" si="1024"/>
        <v>0</v>
      </c>
      <c r="DZ199" s="74"/>
      <c r="EA199" s="76"/>
    </row>
    <row r="200" ht="21.75" customHeight="1">
      <c r="A200" s="64"/>
      <c r="B200" s="70"/>
      <c r="C200" s="71"/>
      <c r="D200" s="71"/>
      <c r="E200" s="71"/>
      <c r="F200" s="78" t="s">
        <v>46</v>
      </c>
      <c r="G200" s="73"/>
      <c r="H200" s="73"/>
      <c r="I200" s="73"/>
      <c r="J200" s="73"/>
      <c r="K200" s="73"/>
      <c r="L200" s="73"/>
      <c r="M200" s="79">
        <f t="shared" ref="M200:O200" si="1025">M201</f>
        <v>0</v>
      </c>
      <c r="N200" s="79">
        <f t="shared" si="1025"/>
        <v>0</v>
      </c>
      <c r="O200" s="79">
        <f t="shared" si="1025"/>
        <v>0</v>
      </c>
      <c r="P200" s="79"/>
      <c r="Q200" s="79"/>
      <c r="R200" s="79"/>
      <c r="S200" s="79">
        <f t="shared" ref="S200:U200" si="1026">S201</f>
        <v>2278.42737</v>
      </c>
      <c r="T200" s="79">
        <f t="shared" si="1026"/>
        <v>0</v>
      </c>
      <c r="U200" s="79">
        <f t="shared" si="1026"/>
        <v>2278.42737</v>
      </c>
      <c r="V200" s="79"/>
      <c r="W200" s="79"/>
      <c r="X200" s="79"/>
      <c r="Y200" s="79">
        <f t="shared" ref="Y200:AA200" si="1027">Y201</f>
        <v>0</v>
      </c>
      <c r="Z200" s="79">
        <f t="shared" si="1027"/>
        <v>0</v>
      </c>
      <c r="AA200" s="79">
        <f t="shared" si="1027"/>
        <v>0</v>
      </c>
      <c r="AB200" s="79"/>
      <c r="AC200" s="79"/>
      <c r="AD200" s="79"/>
      <c r="AE200" s="79">
        <f t="shared" ref="AE200:AG200" si="1028">M200+S200+Y200</f>
        <v>2278.42737</v>
      </c>
      <c r="AF200" s="79">
        <f t="shared" si="1028"/>
        <v>0</v>
      </c>
      <c r="AG200" s="79">
        <f t="shared" si="1028"/>
        <v>2278.42737</v>
      </c>
      <c r="AH200" s="88"/>
      <c r="AI200" s="88"/>
      <c r="AJ200" s="88"/>
      <c r="AK200" s="79">
        <f t="shared" ref="AK200:AM200" si="1029">AK201</f>
        <v>0</v>
      </c>
      <c r="AL200" s="79">
        <f t="shared" si="1029"/>
        <v>0</v>
      </c>
      <c r="AM200" s="79">
        <f t="shared" si="1029"/>
        <v>0</v>
      </c>
      <c r="AN200" s="73"/>
      <c r="AO200" s="73"/>
      <c r="AP200" s="73"/>
      <c r="AQ200" s="79">
        <f t="shared" ref="AQ200:AS200" si="1030">AE200+AK200</f>
        <v>2278.42737</v>
      </c>
      <c r="AR200" s="79">
        <f t="shared" si="1030"/>
        <v>0</v>
      </c>
      <c r="AS200" s="79">
        <f t="shared" si="1030"/>
        <v>2278.42737</v>
      </c>
      <c r="AT200" s="88"/>
      <c r="AU200" s="88"/>
      <c r="AV200" s="88"/>
      <c r="AW200" s="79">
        <v>0.0</v>
      </c>
      <c r="AX200" s="79">
        <v>0.0</v>
      </c>
      <c r="AY200" s="79">
        <v>0.0</v>
      </c>
      <c r="AZ200" s="88"/>
      <c r="BA200" s="88"/>
      <c r="BB200" s="88"/>
      <c r="BC200" s="79">
        <f t="shared" ref="BC200:BE200" si="1031">AQ200+AW200</f>
        <v>2278.42737</v>
      </c>
      <c r="BD200" s="79">
        <f t="shared" si="1031"/>
        <v>0</v>
      </c>
      <c r="BE200" s="79">
        <f t="shared" si="1031"/>
        <v>2278.42737</v>
      </c>
      <c r="BF200" s="88"/>
      <c r="BG200" s="88"/>
      <c r="BH200" s="88"/>
      <c r="BI200" s="88"/>
      <c r="BJ200" s="88"/>
      <c r="BK200" s="88"/>
      <c r="BL200" s="88"/>
      <c r="BM200" s="88"/>
      <c r="BN200" s="88"/>
      <c r="BO200" s="88"/>
      <c r="BP200" s="88"/>
      <c r="BQ200" s="88"/>
      <c r="BR200" s="88"/>
      <c r="BS200" s="88"/>
      <c r="BT200" s="88"/>
      <c r="BU200" s="88"/>
      <c r="BV200" s="88"/>
      <c r="BW200" s="88"/>
      <c r="BX200" s="88"/>
      <c r="BY200" s="88"/>
      <c r="BZ200" s="88"/>
      <c r="CA200" s="88"/>
      <c r="CB200" s="88"/>
      <c r="CC200" s="88"/>
      <c r="CD200" s="88"/>
      <c r="CE200" s="88"/>
      <c r="CF200" s="88"/>
      <c r="CG200" s="88"/>
      <c r="CH200" s="88"/>
      <c r="CI200" s="88"/>
      <c r="CJ200" s="88"/>
      <c r="CK200" s="88"/>
      <c r="CL200" s="88"/>
      <c r="CM200" s="88"/>
      <c r="CN200" s="88"/>
      <c r="CO200" s="88"/>
      <c r="CP200" s="88"/>
      <c r="CQ200" s="88"/>
      <c r="CR200" s="88"/>
      <c r="CS200" s="88"/>
      <c r="CT200" s="88"/>
      <c r="CU200" s="88"/>
      <c r="CV200" s="88"/>
      <c r="CW200" s="88"/>
      <c r="CX200" s="88"/>
      <c r="CY200" s="88"/>
      <c r="CZ200" s="88"/>
      <c r="DA200" s="88"/>
      <c r="DB200" s="88"/>
      <c r="DC200" s="88"/>
      <c r="DD200" s="88"/>
      <c r="DE200" s="88"/>
      <c r="DF200" s="88"/>
      <c r="DG200" s="88"/>
      <c r="DH200" s="88"/>
      <c r="DI200" s="88"/>
      <c r="DJ200" s="88"/>
      <c r="DK200" s="88"/>
      <c r="DL200" s="88"/>
      <c r="DM200" s="88"/>
      <c r="DN200" s="88"/>
      <c r="DO200" s="88"/>
      <c r="DP200" s="88"/>
      <c r="DQ200" s="88"/>
      <c r="DR200" s="88"/>
      <c r="DS200" s="88"/>
      <c r="DT200" s="88"/>
      <c r="DU200" s="89"/>
      <c r="DV200" s="89"/>
      <c r="DW200" s="89"/>
      <c r="DX200" s="89"/>
      <c r="DY200" s="89"/>
      <c r="DZ200" s="74"/>
      <c r="EA200" s="76"/>
    </row>
    <row r="201" ht="21.75" customHeight="1">
      <c r="A201" s="64"/>
      <c r="B201" s="70"/>
      <c r="C201" s="71"/>
      <c r="D201" s="71"/>
      <c r="E201" s="71"/>
      <c r="F201" s="81" t="s">
        <v>47</v>
      </c>
      <c r="G201" s="73"/>
      <c r="H201" s="73"/>
      <c r="I201" s="73"/>
      <c r="J201" s="73"/>
      <c r="K201" s="73"/>
      <c r="L201" s="73"/>
      <c r="M201" s="73">
        <v>0.0</v>
      </c>
      <c r="N201" s="73">
        <v>0.0</v>
      </c>
      <c r="O201" s="73">
        <v>0.0</v>
      </c>
      <c r="P201" s="73"/>
      <c r="Q201" s="73"/>
      <c r="R201" s="73"/>
      <c r="S201" s="73">
        <f>T201+U201</f>
        <v>2278.42737</v>
      </c>
      <c r="T201" s="73">
        <v>0.0</v>
      </c>
      <c r="U201" s="73">
        <v>2278.42737</v>
      </c>
      <c r="V201" s="73"/>
      <c r="W201" s="73"/>
      <c r="X201" s="73"/>
      <c r="Y201" s="73">
        <v>0.0</v>
      </c>
      <c r="Z201" s="73">
        <v>0.0</v>
      </c>
      <c r="AA201" s="73">
        <v>0.0</v>
      </c>
      <c r="AB201" s="73"/>
      <c r="AC201" s="73"/>
      <c r="AD201" s="73"/>
      <c r="AE201" s="73">
        <f t="shared" ref="AE201:AG201" si="1032">M201+S201+Y201</f>
        <v>2278.42737</v>
      </c>
      <c r="AF201" s="73">
        <f t="shared" si="1032"/>
        <v>0</v>
      </c>
      <c r="AG201" s="73">
        <f t="shared" si="1032"/>
        <v>2278.42737</v>
      </c>
      <c r="AH201" s="88"/>
      <c r="AI201" s="88"/>
      <c r="AJ201" s="88"/>
      <c r="AK201" s="73">
        <v>0.0</v>
      </c>
      <c r="AL201" s="73">
        <v>0.0</v>
      </c>
      <c r="AM201" s="73">
        <v>0.0</v>
      </c>
      <c r="AN201" s="73"/>
      <c r="AO201" s="73"/>
      <c r="AP201" s="73"/>
      <c r="AQ201" s="73">
        <f t="shared" ref="AQ201:AS201" si="1033">AE201+AK201</f>
        <v>2278.42737</v>
      </c>
      <c r="AR201" s="73">
        <f t="shared" si="1033"/>
        <v>0</v>
      </c>
      <c r="AS201" s="73">
        <f t="shared" si="1033"/>
        <v>2278.42737</v>
      </c>
      <c r="AT201" s="88"/>
      <c r="AU201" s="88"/>
      <c r="AV201" s="88"/>
      <c r="AW201" s="73">
        <v>0.0</v>
      </c>
      <c r="AX201" s="73">
        <v>0.0</v>
      </c>
      <c r="AY201" s="73">
        <v>0.0</v>
      </c>
      <c r="AZ201" s="88"/>
      <c r="BA201" s="88"/>
      <c r="BB201" s="88"/>
      <c r="BC201" s="73">
        <f t="shared" ref="BC201:BE201" si="1034">AQ201+AW201</f>
        <v>2278.42737</v>
      </c>
      <c r="BD201" s="73">
        <f t="shared" si="1034"/>
        <v>0</v>
      </c>
      <c r="BE201" s="73">
        <f t="shared" si="1034"/>
        <v>2278.42737</v>
      </c>
      <c r="BF201" s="88"/>
      <c r="BG201" s="88"/>
      <c r="BH201" s="88"/>
      <c r="BI201" s="88"/>
      <c r="BJ201" s="88"/>
      <c r="BK201" s="88"/>
      <c r="BL201" s="88"/>
      <c r="BM201" s="88"/>
      <c r="BN201" s="88"/>
      <c r="BO201" s="88"/>
      <c r="BP201" s="88"/>
      <c r="BQ201" s="88"/>
      <c r="BR201" s="88"/>
      <c r="BS201" s="88"/>
      <c r="BT201" s="88"/>
      <c r="BU201" s="88"/>
      <c r="BV201" s="88"/>
      <c r="BW201" s="88"/>
      <c r="BX201" s="88"/>
      <c r="BY201" s="88"/>
      <c r="BZ201" s="88"/>
      <c r="CA201" s="88"/>
      <c r="CB201" s="88"/>
      <c r="CC201" s="88"/>
      <c r="CD201" s="88"/>
      <c r="CE201" s="88"/>
      <c r="CF201" s="88"/>
      <c r="CG201" s="88"/>
      <c r="CH201" s="88"/>
      <c r="CI201" s="88"/>
      <c r="CJ201" s="88"/>
      <c r="CK201" s="88"/>
      <c r="CL201" s="88"/>
      <c r="CM201" s="88"/>
      <c r="CN201" s="88"/>
      <c r="CO201" s="88"/>
      <c r="CP201" s="88"/>
      <c r="CQ201" s="88"/>
      <c r="CR201" s="88"/>
      <c r="CS201" s="88"/>
      <c r="CT201" s="88"/>
      <c r="CU201" s="88"/>
      <c r="CV201" s="88"/>
      <c r="CW201" s="88"/>
      <c r="CX201" s="88"/>
      <c r="CY201" s="88"/>
      <c r="CZ201" s="88"/>
      <c r="DA201" s="88"/>
      <c r="DB201" s="88"/>
      <c r="DC201" s="88"/>
      <c r="DD201" s="88"/>
      <c r="DE201" s="88"/>
      <c r="DF201" s="88"/>
      <c r="DG201" s="88"/>
      <c r="DH201" s="88"/>
      <c r="DI201" s="88"/>
      <c r="DJ201" s="88"/>
      <c r="DK201" s="88"/>
      <c r="DL201" s="88"/>
      <c r="DM201" s="88"/>
      <c r="DN201" s="88"/>
      <c r="DO201" s="88"/>
      <c r="DP201" s="88"/>
      <c r="DQ201" s="88"/>
      <c r="DR201" s="88"/>
      <c r="DS201" s="88"/>
      <c r="DT201" s="88"/>
      <c r="DU201" s="89"/>
      <c r="DV201" s="89"/>
      <c r="DW201" s="89"/>
      <c r="DX201" s="89"/>
      <c r="DY201" s="89"/>
      <c r="DZ201" s="74"/>
      <c r="EA201" s="76"/>
    </row>
    <row r="202" ht="21.75" customHeight="1">
      <c r="A202" s="64"/>
      <c r="B202" s="70"/>
      <c r="C202" s="71"/>
      <c r="D202" s="71"/>
      <c r="E202" s="71"/>
      <c r="F202" s="78" t="s">
        <v>48</v>
      </c>
      <c r="G202" s="73"/>
      <c r="H202" s="73"/>
      <c r="I202" s="73"/>
      <c r="J202" s="73"/>
      <c r="K202" s="73"/>
      <c r="L202" s="73"/>
      <c r="M202" s="79">
        <f t="shared" ref="M202:O202" si="1035">M203+M204</f>
        <v>4218.29123</v>
      </c>
      <c r="N202" s="79">
        <f t="shared" si="1035"/>
        <v>0</v>
      </c>
      <c r="O202" s="79">
        <f t="shared" si="1035"/>
        <v>4218.29123</v>
      </c>
      <c r="P202" s="79"/>
      <c r="Q202" s="79"/>
      <c r="R202" s="79"/>
      <c r="S202" s="79">
        <f t="shared" ref="S202:U202" si="1036">S203+S204</f>
        <v>3497</v>
      </c>
      <c r="T202" s="79">
        <f t="shared" si="1036"/>
        <v>0</v>
      </c>
      <c r="U202" s="79">
        <f t="shared" si="1036"/>
        <v>3497</v>
      </c>
      <c r="V202" s="79"/>
      <c r="W202" s="79"/>
      <c r="X202" s="79"/>
      <c r="Y202" s="79">
        <f t="shared" ref="Y202:AA202" si="1037">Y203+Y204</f>
        <v>2856</v>
      </c>
      <c r="Z202" s="79">
        <f t="shared" si="1037"/>
        <v>0</v>
      </c>
      <c r="AA202" s="79">
        <f t="shared" si="1037"/>
        <v>2856</v>
      </c>
      <c r="AB202" s="79"/>
      <c r="AC202" s="79"/>
      <c r="AD202" s="79"/>
      <c r="AE202" s="79">
        <f t="shared" ref="AE202:AG202" si="1038">M202+S202+Y202</f>
        <v>10571.29123</v>
      </c>
      <c r="AF202" s="79">
        <f t="shared" si="1038"/>
        <v>0</v>
      </c>
      <c r="AG202" s="79">
        <f t="shared" si="1038"/>
        <v>10571.29123</v>
      </c>
      <c r="AH202" s="88"/>
      <c r="AI202" s="88"/>
      <c r="AJ202" s="88"/>
      <c r="AK202" s="79">
        <f t="shared" ref="AK202:AM202" si="1039">AK203+AK204</f>
        <v>994.64491</v>
      </c>
      <c r="AL202" s="79">
        <f t="shared" si="1039"/>
        <v>0</v>
      </c>
      <c r="AM202" s="79">
        <f t="shared" si="1039"/>
        <v>994.64491</v>
      </c>
      <c r="AN202" s="73"/>
      <c r="AO202" s="73"/>
      <c r="AP202" s="73"/>
      <c r="AQ202" s="79">
        <f t="shared" ref="AQ202:AS202" si="1040">AE202+AK202</f>
        <v>11565.93614</v>
      </c>
      <c r="AR202" s="79">
        <f t="shared" si="1040"/>
        <v>0</v>
      </c>
      <c r="AS202" s="79">
        <f t="shared" si="1040"/>
        <v>11565.93614</v>
      </c>
      <c r="AT202" s="88"/>
      <c r="AU202" s="88"/>
      <c r="AV202" s="88"/>
      <c r="AW202" s="79">
        <f t="shared" ref="AW202:AY202" si="1041">AW203+AW204</f>
        <v>2310.24819</v>
      </c>
      <c r="AX202" s="79">
        <f t="shared" si="1041"/>
        <v>0</v>
      </c>
      <c r="AY202" s="79">
        <f t="shared" si="1041"/>
        <v>2310.24819</v>
      </c>
      <c r="AZ202" s="88"/>
      <c r="BA202" s="88"/>
      <c r="BB202" s="88"/>
      <c r="BC202" s="79">
        <f t="shared" ref="BC202:BE202" si="1042">AQ202+AW202</f>
        <v>13876.18433</v>
      </c>
      <c r="BD202" s="79">
        <f t="shared" si="1042"/>
        <v>0</v>
      </c>
      <c r="BE202" s="79">
        <f t="shared" si="1042"/>
        <v>13876.18433</v>
      </c>
      <c r="BF202" s="88"/>
      <c r="BG202" s="88"/>
      <c r="BH202" s="88"/>
      <c r="BI202" s="88"/>
      <c r="BJ202" s="88"/>
      <c r="BK202" s="88"/>
      <c r="BL202" s="88"/>
      <c r="BM202" s="88"/>
      <c r="BN202" s="88"/>
      <c r="BO202" s="88"/>
      <c r="BP202" s="88"/>
      <c r="BQ202" s="88"/>
      <c r="BR202" s="88"/>
      <c r="BS202" s="88"/>
      <c r="BT202" s="88"/>
      <c r="BU202" s="88"/>
      <c r="BV202" s="88"/>
      <c r="BW202" s="88"/>
      <c r="BX202" s="88"/>
      <c r="BY202" s="88"/>
      <c r="BZ202" s="88"/>
      <c r="CA202" s="88"/>
      <c r="CB202" s="88"/>
      <c r="CC202" s="88"/>
      <c r="CD202" s="88"/>
      <c r="CE202" s="88"/>
      <c r="CF202" s="88"/>
      <c r="CG202" s="88"/>
      <c r="CH202" s="88"/>
      <c r="CI202" s="88"/>
      <c r="CJ202" s="88"/>
      <c r="CK202" s="88"/>
      <c r="CL202" s="88"/>
      <c r="CM202" s="88"/>
      <c r="CN202" s="88"/>
      <c r="CO202" s="88"/>
      <c r="CP202" s="88"/>
      <c r="CQ202" s="88"/>
      <c r="CR202" s="88"/>
      <c r="CS202" s="88"/>
      <c r="CT202" s="88"/>
      <c r="CU202" s="88"/>
      <c r="CV202" s="88"/>
      <c r="CW202" s="88"/>
      <c r="CX202" s="88"/>
      <c r="CY202" s="88"/>
      <c r="CZ202" s="88"/>
      <c r="DA202" s="88"/>
      <c r="DB202" s="88"/>
      <c r="DC202" s="88"/>
      <c r="DD202" s="88"/>
      <c r="DE202" s="88"/>
      <c r="DF202" s="88"/>
      <c r="DG202" s="88"/>
      <c r="DH202" s="88"/>
      <c r="DI202" s="88"/>
      <c r="DJ202" s="88"/>
      <c r="DK202" s="88"/>
      <c r="DL202" s="88"/>
      <c r="DM202" s="88"/>
      <c r="DN202" s="88"/>
      <c r="DO202" s="88"/>
      <c r="DP202" s="88"/>
      <c r="DQ202" s="88"/>
      <c r="DR202" s="88"/>
      <c r="DS202" s="88"/>
      <c r="DT202" s="88"/>
      <c r="DU202" s="89"/>
      <c r="DV202" s="89"/>
      <c r="DW202" s="89"/>
      <c r="DX202" s="89"/>
      <c r="DY202" s="89"/>
      <c r="DZ202" s="74"/>
      <c r="EA202" s="82"/>
    </row>
    <row r="203" ht="21.75" customHeight="1">
      <c r="A203" s="64"/>
      <c r="B203" s="70"/>
      <c r="C203" s="71"/>
      <c r="D203" s="71"/>
      <c r="E203" s="71"/>
      <c r="F203" s="81" t="s">
        <v>47</v>
      </c>
      <c r="G203" s="73"/>
      <c r="H203" s="73"/>
      <c r="I203" s="73"/>
      <c r="J203" s="73"/>
      <c r="K203" s="73"/>
      <c r="L203" s="73"/>
      <c r="M203" s="73">
        <f>N203+O203</f>
        <v>4218.29123</v>
      </c>
      <c r="N203" s="73">
        <v>0.0</v>
      </c>
      <c r="O203" s="73">
        <v>4218.29123</v>
      </c>
      <c r="P203" s="73"/>
      <c r="Q203" s="73"/>
      <c r="R203" s="73"/>
      <c r="S203" s="73">
        <v>3268.44669</v>
      </c>
      <c r="T203" s="73">
        <v>0.0</v>
      </c>
      <c r="U203" s="73">
        <v>3268.44669</v>
      </c>
      <c r="V203" s="73"/>
      <c r="W203" s="73"/>
      <c r="X203" s="73"/>
      <c r="Y203" s="73">
        <v>2864.9053</v>
      </c>
      <c r="Z203" s="73">
        <v>0.0</v>
      </c>
      <c r="AA203" s="73">
        <v>2864.9053</v>
      </c>
      <c r="AB203" s="73"/>
      <c r="AC203" s="73"/>
      <c r="AD203" s="73"/>
      <c r="AE203" s="73">
        <f t="shared" ref="AE203:AG203" si="1043">M203+S203+Y203</f>
        <v>10351.64322</v>
      </c>
      <c r="AF203" s="73">
        <f t="shared" si="1043"/>
        <v>0</v>
      </c>
      <c r="AG203" s="73">
        <f t="shared" si="1043"/>
        <v>10351.64322</v>
      </c>
      <c r="AH203" s="88"/>
      <c r="AI203" s="88"/>
      <c r="AJ203" s="88"/>
      <c r="AK203" s="73">
        <f>AL203+AM203</f>
        <v>994.64491</v>
      </c>
      <c r="AL203" s="73">
        <v>0.0</v>
      </c>
      <c r="AM203" s="73">
        <v>994.64491</v>
      </c>
      <c r="AN203" s="73"/>
      <c r="AO203" s="73"/>
      <c r="AP203" s="73"/>
      <c r="AQ203" s="73">
        <f t="shared" ref="AQ203:AS203" si="1044">AE203+AK203</f>
        <v>11346.28813</v>
      </c>
      <c r="AR203" s="73">
        <f t="shared" si="1044"/>
        <v>0</v>
      </c>
      <c r="AS203" s="73">
        <f t="shared" si="1044"/>
        <v>11346.28813</v>
      </c>
      <c r="AT203" s="88"/>
      <c r="AU203" s="88"/>
      <c r="AV203" s="88"/>
      <c r="AW203" s="73">
        <f>1788.73433+526.19058</f>
        <v>2314.92491</v>
      </c>
      <c r="AX203" s="73">
        <v>0.0</v>
      </c>
      <c r="AY203" s="73">
        <f>1788.73433+526.19058</f>
        <v>2314.92491</v>
      </c>
      <c r="AZ203" s="88"/>
      <c r="BA203" s="88"/>
      <c r="BB203" s="88"/>
      <c r="BC203" s="73">
        <f t="shared" ref="BC203:BE203" si="1045">AQ203+AW203</f>
        <v>13661.21304</v>
      </c>
      <c r="BD203" s="73">
        <f t="shared" si="1045"/>
        <v>0</v>
      </c>
      <c r="BE203" s="73">
        <f t="shared" si="1045"/>
        <v>13661.21304</v>
      </c>
      <c r="BF203" s="88"/>
      <c r="BG203" s="88"/>
      <c r="BH203" s="88"/>
      <c r="BI203" s="88"/>
      <c r="BJ203" s="88"/>
      <c r="BK203" s="88"/>
      <c r="BL203" s="88"/>
      <c r="BM203" s="88"/>
      <c r="BN203" s="88"/>
      <c r="BO203" s="88"/>
      <c r="BP203" s="88"/>
      <c r="BQ203" s="88"/>
      <c r="BR203" s="88"/>
      <c r="BS203" s="88"/>
      <c r="BT203" s="88"/>
      <c r="BU203" s="88"/>
      <c r="BV203" s="88"/>
      <c r="BW203" s="88"/>
      <c r="BX203" s="88"/>
      <c r="BY203" s="88"/>
      <c r="BZ203" s="88"/>
      <c r="CA203" s="88"/>
      <c r="CB203" s="88"/>
      <c r="CC203" s="88"/>
      <c r="CD203" s="88"/>
      <c r="CE203" s="88"/>
      <c r="CF203" s="88"/>
      <c r="CG203" s="88"/>
      <c r="CH203" s="88"/>
      <c r="CI203" s="88"/>
      <c r="CJ203" s="88"/>
      <c r="CK203" s="88"/>
      <c r="CL203" s="88"/>
      <c r="CM203" s="88"/>
      <c r="CN203" s="88"/>
      <c r="CO203" s="88"/>
      <c r="CP203" s="88"/>
      <c r="CQ203" s="88"/>
      <c r="CR203" s="88"/>
      <c r="CS203" s="88"/>
      <c r="CT203" s="88"/>
      <c r="CU203" s="88"/>
      <c r="CV203" s="88"/>
      <c r="CW203" s="88"/>
      <c r="CX203" s="88"/>
      <c r="CY203" s="88"/>
      <c r="CZ203" s="88"/>
      <c r="DA203" s="88"/>
      <c r="DB203" s="88"/>
      <c r="DC203" s="88"/>
      <c r="DD203" s="88"/>
      <c r="DE203" s="88"/>
      <c r="DF203" s="88"/>
      <c r="DG203" s="88"/>
      <c r="DH203" s="88"/>
      <c r="DI203" s="88"/>
      <c r="DJ203" s="88"/>
      <c r="DK203" s="88"/>
      <c r="DL203" s="88"/>
      <c r="DM203" s="88"/>
      <c r="DN203" s="88"/>
      <c r="DO203" s="88"/>
      <c r="DP203" s="88"/>
      <c r="DQ203" s="88"/>
      <c r="DR203" s="88"/>
      <c r="DS203" s="88"/>
      <c r="DT203" s="88"/>
      <c r="DU203" s="89"/>
      <c r="DV203" s="89"/>
      <c r="DW203" s="89"/>
      <c r="DX203" s="89"/>
      <c r="DY203" s="89"/>
      <c r="DZ203" s="74"/>
      <c r="EA203" s="82" t="s">
        <v>157</v>
      </c>
    </row>
    <row r="204" ht="21.75" customHeight="1">
      <c r="A204" s="64"/>
      <c r="B204" s="70"/>
      <c r="C204" s="71"/>
      <c r="D204" s="71"/>
      <c r="E204" s="71"/>
      <c r="F204" s="81" t="s">
        <v>50</v>
      </c>
      <c r="G204" s="73"/>
      <c r="H204" s="73"/>
      <c r="I204" s="73"/>
      <c r="J204" s="73"/>
      <c r="K204" s="73"/>
      <c r="L204" s="73"/>
      <c r="M204" s="73">
        <v>0.0</v>
      </c>
      <c r="N204" s="73">
        <v>0.0</v>
      </c>
      <c r="O204" s="73">
        <v>0.0</v>
      </c>
      <c r="P204" s="73"/>
      <c r="Q204" s="73"/>
      <c r="R204" s="73"/>
      <c r="S204" s="73">
        <v>228.55330999999978</v>
      </c>
      <c r="T204" s="73">
        <v>0.0</v>
      </c>
      <c r="U204" s="73">
        <v>228.55330999999978</v>
      </c>
      <c r="V204" s="73"/>
      <c r="W204" s="73"/>
      <c r="X204" s="73"/>
      <c r="Y204" s="73">
        <v>-8.905299999999897</v>
      </c>
      <c r="Z204" s="73">
        <v>0.0</v>
      </c>
      <c r="AA204" s="73">
        <v>-8.905299999999897</v>
      </c>
      <c r="AB204" s="73"/>
      <c r="AC204" s="73"/>
      <c r="AD204" s="73"/>
      <c r="AE204" s="73">
        <f t="shared" ref="AE204:AG204" si="1046">M204+S204+Y204</f>
        <v>219.64801</v>
      </c>
      <c r="AF204" s="73">
        <f t="shared" si="1046"/>
        <v>0</v>
      </c>
      <c r="AG204" s="73">
        <f t="shared" si="1046"/>
        <v>219.64801</v>
      </c>
      <c r="AH204" s="88"/>
      <c r="AI204" s="88"/>
      <c r="AJ204" s="88"/>
      <c r="AK204" s="73">
        <v>0.0</v>
      </c>
      <c r="AL204" s="73">
        <v>0.0</v>
      </c>
      <c r="AM204" s="73">
        <v>0.0</v>
      </c>
      <c r="AN204" s="73"/>
      <c r="AO204" s="73"/>
      <c r="AP204" s="73"/>
      <c r="AQ204" s="73">
        <f t="shared" ref="AQ204:AS204" si="1047">AE204+AK204</f>
        <v>219.64801</v>
      </c>
      <c r="AR204" s="73">
        <f t="shared" si="1047"/>
        <v>0</v>
      </c>
      <c r="AS204" s="73">
        <f t="shared" si="1047"/>
        <v>219.64801</v>
      </c>
      <c r="AT204" s="88"/>
      <c r="AU204" s="88"/>
      <c r="AV204" s="88"/>
      <c r="AW204" s="73">
        <v>-4.67672</v>
      </c>
      <c r="AX204" s="73">
        <v>0.0</v>
      </c>
      <c r="AY204" s="73">
        <v>-4.67672</v>
      </c>
      <c r="AZ204" s="88"/>
      <c r="BA204" s="88"/>
      <c r="BB204" s="88"/>
      <c r="BC204" s="73">
        <f t="shared" ref="BC204:BE204" si="1048">AQ204+AW204</f>
        <v>214.97129</v>
      </c>
      <c r="BD204" s="73">
        <f t="shared" si="1048"/>
        <v>0</v>
      </c>
      <c r="BE204" s="73">
        <f t="shared" si="1048"/>
        <v>214.97129</v>
      </c>
      <c r="BF204" s="88"/>
      <c r="BG204" s="88"/>
      <c r="BH204" s="88"/>
      <c r="BI204" s="88"/>
      <c r="BJ204" s="88"/>
      <c r="BK204" s="88"/>
      <c r="BL204" s="88"/>
      <c r="BM204" s="88"/>
      <c r="BN204" s="88"/>
      <c r="BO204" s="88"/>
      <c r="BP204" s="88"/>
      <c r="BQ204" s="88"/>
      <c r="BR204" s="88"/>
      <c r="BS204" s="88"/>
      <c r="BT204" s="88"/>
      <c r="BU204" s="88"/>
      <c r="BV204" s="88"/>
      <c r="BW204" s="88"/>
      <c r="BX204" s="88"/>
      <c r="BY204" s="88"/>
      <c r="BZ204" s="88"/>
      <c r="CA204" s="88"/>
      <c r="CB204" s="88"/>
      <c r="CC204" s="88"/>
      <c r="CD204" s="88"/>
      <c r="CE204" s="88"/>
      <c r="CF204" s="88"/>
      <c r="CG204" s="88"/>
      <c r="CH204" s="88"/>
      <c r="CI204" s="88"/>
      <c r="CJ204" s="88"/>
      <c r="CK204" s="88"/>
      <c r="CL204" s="88"/>
      <c r="CM204" s="88"/>
      <c r="CN204" s="88"/>
      <c r="CO204" s="88"/>
      <c r="CP204" s="88"/>
      <c r="CQ204" s="88"/>
      <c r="CR204" s="88"/>
      <c r="CS204" s="88"/>
      <c r="CT204" s="88"/>
      <c r="CU204" s="88"/>
      <c r="CV204" s="88"/>
      <c r="CW204" s="88"/>
      <c r="CX204" s="88"/>
      <c r="CY204" s="88"/>
      <c r="CZ204" s="88"/>
      <c r="DA204" s="88"/>
      <c r="DB204" s="88"/>
      <c r="DC204" s="88"/>
      <c r="DD204" s="88"/>
      <c r="DE204" s="88"/>
      <c r="DF204" s="88"/>
      <c r="DG204" s="88"/>
      <c r="DH204" s="88"/>
      <c r="DI204" s="88"/>
      <c r="DJ204" s="88"/>
      <c r="DK204" s="88"/>
      <c r="DL204" s="88"/>
      <c r="DM204" s="88"/>
      <c r="DN204" s="88"/>
      <c r="DO204" s="88"/>
      <c r="DP204" s="88"/>
      <c r="DQ204" s="88"/>
      <c r="DR204" s="88"/>
      <c r="DS204" s="88"/>
      <c r="DT204" s="88"/>
      <c r="DU204" s="89"/>
      <c r="DV204" s="89"/>
      <c r="DW204" s="89"/>
      <c r="DX204" s="89"/>
      <c r="DY204" s="89"/>
      <c r="DZ204" s="74"/>
      <c r="EA204" s="82"/>
    </row>
    <row r="205" ht="21.75" customHeight="1">
      <c r="A205" s="64"/>
      <c r="B205" s="70"/>
      <c r="C205" s="71"/>
      <c r="D205" s="71"/>
      <c r="E205" s="71"/>
      <c r="F205" s="78" t="s">
        <v>51</v>
      </c>
      <c r="G205" s="73"/>
      <c r="H205" s="73"/>
      <c r="I205" s="73"/>
      <c r="J205" s="73"/>
      <c r="K205" s="73"/>
      <c r="L205" s="73"/>
      <c r="M205" s="79">
        <f t="shared" ref="M205:O205" si="1049">M206+M207</f>
        <v>0</v>
      </c>
      <c r="N205" s="79">
        <f t="shared" si="1049"/>
        <v>0</v>
      </c>
      <c r="O205" s="79">
        <f t="shared" si="1049"/>
        <v>0</v>
      </c>
      <c r="P205" s="73"/>
      <c r="Q205" s="73"/>
      <c r="R205" s="73"/>
      <c r="S205" s="79">
        <f t="shared" ref="S205:U205" si="1050">S206+S207</f>
        <v>0</v>
      </c>
      <c r="T205" s="79">
        <f t="shared" si="1050"/>
        <v>0</v>
      </c>
      <c r="U205" s="79">
        <f t="shared" si="1050"/>
        <v>0</v>
      </c>
      <c r="V205" s="73"/>
      <c r="W205" s="73"/>
      <c r="X205" s="73"/>
      <c r="Y205" s="79">
        <f t="shared" ref="Y205:AA205" si="1051">Y206+Y207</f>
        <v>5273.59729</v>
      </c>
      <c r="Z205" s="79">
        <f t="shared" si="1051"/>
        <v>0</v>
      </c>
      <c r="AA205" s="79">
        <f t="shared" si="1051"/>
        <v>5273.59729</v>
      </c>
      <c r="AB205" s="73"/>
      <c r="AC205" s="73"/>
      <c r="AD205" s="73"/>
      <c r="AE205" s="79">
        <f t="shared" ref="AE205:AG205" si="1052">M205+S205+Y205</f>
        <v>5273.59729</v>
      </c>
      <c r="AF205" s="79">
        <f t="shared" si="1052"/>
        <v>0</v>
      </c>
      <c r="AG205" s="79">
        <f t="shared" si="1052"/>
        <v>5273.59729</v>
      </c>
      <c r="AH205" s="73"/>
      <c r="AI205" s="73"/>
      <c r="AJ205" s="73"/>
      <c r="AK205" s="79">
        <f t="shared" ref="AK205:AM205" si="1053">AK206+AK207</f>
        <v>2542.62841</v>
      </c>
      <c r="AL205" s="79">
        <f t="shared" si="1053"/>
        <v>0</v>
      </c>
      <c r="AM205" s="79">
        <f t="shared" si="1053"/>
        <v>2542.62841</v>
      </c>
      <c r="AN205" s="73"/>
      <c r="AO205" s="73"/>
      <c r="AP205" s="73"/>
      <c r="AQ205" s="79">
        <f t="shared" ref="AQ205:AS205" si="1054">AE205+AK205</f>
        <v>7816.2257</v>
      </c>
      <c r="AR205" s="79">
        <f t="shared" si="1054"/>
        <v>0</v>
      </c>
      <c r="AS205" s="79">
        <f t="shared" si="1054"/>
        <v>7816.2257</v>
      </c>
      <c r="AT205" s="73"/>
      <c r="AU205" s="73"/>
      <c r="AV205" s="73"/>
      <c r="AW205" s="79">
        <f t="shared" ref="AW205:AY205" si="1055">AW206+AW207</f>
        <v>9722.0547</v>
      </c>
      <c r="AX205" s="79">
        <f t="shared" si="1055"/>
        <v>0</v>
      </c>
      <c r="AY205" s="79">
        <f t="shared" si="1055"/>
        <v>9722.0547</v>
      </c>
      <c r="AZ205" s="73"/>
      <c r="BA205" s="73"/>
      <c r="BB205" s="73"/>
      <c r="BC205" s="79">
        <f t="shared" ref="BC205:BE205" si="1056">AQ205+AW205</f>
        <v>17538.2804</v>
      </c>
      <c r="BD205" s="79">
        <f t="shared" si="1056"/>
        <v>0</v>
      </c>
      <c r="BE205" s="79">
        <f t="shared" si="1056"/>
        <v>17538.2804</v>
      </c>
      <c r="BF205" s="73">
        <f t="shared" ref="BF205:DY205" si="1057">BF207+BF208+BF209</f>
        <v>0</v>
      </c>
      <c r="BG205" s="73">
        <f t="shared" si="1057"/>
        <v>0</v>
      </c>
      <c r="BH205" s="73">
        <f t="shared" si="1057"/>
        <v>0</v>
      </c>
      <c r="BI205" s="73">
        <f t="shared" si="1057"/>
        <v>0</v>
      </c>
      <c r="BJ205" s="73">
        <f t="shared" si="1057"/>
        <v>0</v>
      </c>
      <c r="BK205" s="73">
        <f t="shared" si="1057"/>
        <v>0</v>
      </c>
      <c r="BL205" s="73">
        <f t="shared" si="1057"/>
        <v>0</v>
      </c>
      <c r="BM205" s="73">
        <f t="shared" si="1057"/>
        <v>0</v>
      </c>
      <c r="BN205" s="73">
        <f t="shared" si="1057"/>
        <v>0</v>
      </c>
      <c r="BO205" s="73">
        <f t="shared" si="1057"/>
        <v>0</v>
      </c>
      <c r="BP205" s="73">
        <f t="shared" si="1057"/>
        <v>0</v>
      </c>
      <c r="BQ205" s="73">
        <f t="shared" si="1057"/>
        <v>0</v>
      </c>
      <c r="BR205" s="73">
        <f t="shared" si="1057"/>
        <v>0</v>
      </c>
      <c r="BS205" s="73">
        <f t="shared" si="1057"/>
        <v>0</v>
      </c>
      <c r="BT205" s="73">
        <f t="shared" si="1057"/>
        <v>0</v>
      </c>
      <c r="BU205" s="73">
        <f t="shared" si="1057"/>
        <v>0</v>
      </c>
      <c r="BV205" s="73">
        <f t="shared" si="1057"/>
        <v>0</v>
      </c>
      <c r="BW205" s="73">
        <f t="shared" si="1057"/>
        <v>0</v>
      </c>
      <c r="BX205" s="73">
        <f t="shared" si="1057"/>
        <v>0</v>
      </c>
      <c r="BY205" s="73">
        <f t="shared" si="1057"/>
        <v>0</v>
      </c>
      <c r="BZ205" s="73">
        <f t="shared" si="1057"/>
        <v>0</v>
      </c>
      <c r="CA205" s="73">
        <f t="shared" si="1057"/>
        <v>0</v>
      </c>
      <c r="CB205" s="73">
        <f t="shared" si="1057"/>
        <v>0</v>
      </c>
      <c r="CC205" s="73">
        <f t="shared" si="1057"/>
        <v>0</v>
      </c>
      <c r="CD205" s="73">
        <f t="shared" si="1057"/>
        <v>0</v>
      </c>
      <c r="CE205" s="73">
        <f t="shared" si="1057"/>
        <v>0</v>
      </c>
      <c r="CF205" s="73">
        <f t="shared" si="1057"/>
        <v>0</v>
      </c>
      <c r="CG205" s="73">
        <f t="shared" si="1057"/>
        <v>0</v>
      </c>
      <c r="CH205" s="73">
        <f t="shared" si="1057"/>
        <v>0</v>
      </c>
      <c r="CI205" s="73">
        <f t="shared" si="1057"/>
        <v>0</v>
      </c>
      <c r="CJ205" s="73">
        <f t="shared" si="1057"/>
        <v>0</v>
      </c>
      <c r="CK205" s="73">
        <f t="shared" si="1057"/>
        <v>0</v>
      </c>
      <c r="CL205" s="73">
        <f t="shared" si="1057"/>
        <v>0</v>
      </c>
      <c r="CM205" s="73">
        <f t="shared" si="1057"/>
        <v>0</v>
      </c>
      <c r="CN205" s="73">
        <f t="shared" si="1057"/>
        <v>0</v>
      </c>
      <c r="CO205" s="73">
        <f t="shared" si="1057"/>
        <v>0</v>
      </c>
      <c r="CP205" s="73">
        <f t="shared" si="1057"/>
        <v>0</v>
      </c>
      <c r="CQ205" s="73">
        <f t="shared" si="1057"/>
        <v>0</v>
      </c>
      <c r="CR205" s="73">
        <f t="shared" si="1057"/>
        <v>0</v>
      </c>
      <c r="CS205" s="73">
        <f t="shared" si="1057"/>
        <v>0</v>
      </c>
      <c r="CT205" s="73">
        <f t="shared" si="1057"/>
        <v>0</v>
      </c>
      <c r="CU205" s="73">
        <f t="shared" si="1057"/>
        <v>0</v>
      </c>
      <c r="CV205" s="73">
        <f t="shared" si="1057"/>
        <v>0</v>
      </c>
      <c r="CW205" s="73">
        <f t="shared" si="1057"/>
        <v>0</v>
      </c>
      <c r="CX205" s="73">
        <f t="shared" si="1057"/>
        <v>0</v>
      </c>
      <c r="CY205" s="73">
        <f t="shared" si="1057"/>
        <v>0</v>
      </c>
      <c r="CZ205" s="73">
        <f t="shared" si="1057"/>
        <v>0</v>
      </c>
      <c r="DA205" s="73">
        <f t="shared" si="1057"/>
        <v>0</v>
      </c>
      <c r="DB205" s="73">
        <f t="shared" si="1057"/>
        <v>0</v>
      </c>
      <c r="DC205" s="73">
        <f t="shared" si="1057"/>
        <v>0</v>
      </c>
      <c r="DD205" s="73">
        <f t="shared" si="1057"/>
        <v>0</v>
      </c>
      <c r="DE205" s="73">
        <f t="shared" si="1057"/>
        <v>0</v>
      </c>
      <c r="DF205" s="73">
        <f t="shared" si="1057"/>
        <v>0</v>
      </c>
      <c r="DG205" s="73">
        <f t="shared" si="1057"/>
        <v>0</v>
      </c>
      <c r="DH205" s="73">
        <f t="shared" si="1057"/>
        <v>0</v>
      </c>
      <c r="DI205" s="73">
        <f t="shared" si="1057"/>
        <v>0</v>
      </c>
      <c r="DJ205" s="73">
        <f t="shared" si="1057"/>
        <v>0</v>
      </c>
      <c r="DK205" s="73">
        <f t="shared" si="1057"/>
        <v>0</v>
      </c>
      <c r="DL205" s="73">
        <f t="shared" si="1057"/>
        <v>0</v>
      </c>
      <c r="DM205" s="73">
        <f t="shared" si="1057"/>
        <v>0</v>
      </c>
      <c r="DN205" s="73">
        <f t="shared" si="1057"/>
        <v>0</v>
      </c>
      <c r="DO205" s="73">
        <f t="shared" si="1057"/>
        <v>0</v>
      </c>
      <c r="DP205" s="73">
        <f t="shared" si="1057"/>
        <v>0</v>
      </c>
      <c r="DQ205" s="73">
        <f t="shared" si="1057"/>
        <v>0</v>
      </c>
      <c r="DR205" s="73">
        <f t="shared" si="1057"/>
        <v>0</v>
      </c>
      <c r="DS205" s="73">
        <f t="shared" si="1057"/>
        <v>0</v>
      </c>
      <c r="DT205" s="73">
        <f t="shared" si="1057"/>
        <v>0</v>
      </c>
      <c r="DU205" s="73">
        <f t="shared" si="1057"/>
        <v>0</v>
      </c>
      <c r="DV205" s="73">
        <f t="shared" si="1057"/>
        <v>0</v>
      </c>
      <c r="DW205" s="73">
        <f t="shared" si="1057"/>
        <v>0</v>
      </c>
      <c r="DX205" s="73">
        <f t="shared" si="1057"/>
        <v>0</v>
      </c>
      <c r="DY205" s="73">
        <f t="shared" si="1057"/>
        <v>0</v>
      </c>
      <c r="DZ205" s="73"/>
      <c r="EA205" s="76"/>
    </row>
    <row r="206" ht="21.75" customHeight="1">
      <c r="A206" s="64"/>
      <c r="B206" s="70"/>
      <c r="C206" s="71"/>
      <c r="D206" s="71"/>
      <c r="E206" s="71"/>
      <c r="F206" s="81" t="s">
        <v>47</v>
      </c>
      <c r="G206" s="73"/>
      <c r="H206" s="73"/>
      <c r="I206" s="73"/>
      <c r="J206" s="73"/>
      <c r="K206" s="73"/>
      <c r="L206" s="73"/>
      <c r="M206" s="73">
        <v>0.0</v>
      </c>
      <c r="N206" s="73">
        <v>0.0</v>
      </c>
      <c r="O206" s="73">
        <v>0.0</v>
      </c>
      <c r="P206" s="73"/>
      <c r="Q206" s="73"/>
      <c r="R206" s="73"/>
      <c r="S206" s="73">
        <v>0.0</v>
      </c>
      <c r="T206" s="73">
        <v>0.0</v>
      </c>
      <c r="U206" s="73">
        <v>0.0</v>
      </c>
      <c r="V206" s="73"/>
      <c r="W206" s="73"/>
      <c r="X206" s="73"/>
      <c r="Y206" s="73">
        <f>Z206+AA206</f>
        <v>5273.59729</v>
      </c>
      <c r="Z206" s="73">
        <v>0.0</v>
      </c>
      <c r="AA206" s="73">
        <v>5273.59729</v>
      </c>
      <c r="AB206" s="73"/>
      <c r="AC206" s="73"/>
      <c r="AD206" s="73"/>
      <c r="AE206" s="73">
        <f t="shared" ref="AE206:AG206" si="1058">M206+S206+Y206</f>
        <v>5273.59729</v>
      </c>
      <c r="AF206" s="73">
        <f t="shared" si="1058"/>
        <v>0</v>
      </c>
      <c r="AG206" s="73">
        <f t="shared" si="1058"/>
        <v>5273.59729</v>
      </c>
      <c r="AH206" s="73"/>
      <c r="AI206" s="73"/>
      <c r="AJ206" s="73"/>
      <c r="AK206" s="73">
        <v>27.95481</v>
      </c>
      <c r="AL206" s="73">
        <v>0.0</v>
      </c>
      <c r="AM206" s="73">
        <v>27.95481</v>
      </c>
      <c r="AN206" s="73"/>
      <c r="AO206" s="73"/>
      <c r="AP206" s="73"/>
      <c r="AQ206" s="73">
        <f t="shared" ref="AQ206:AS206" si="1059">AE206+AK206</f>
        <v>5301.5521</v>
      </c>
      <c r="AR206" s="73">
        <f t="shared" si="1059"/>
        <v>0</v>
      </c>
      <c r="AS206" s="73">
        <f t="shared" si="1059"/>
        <v>5301.5521</v>
      </c>
      <c r="AT206" s="73"/>
      <c r="AU206" s="73"/>
      <c r="AV206" s="73"/>
      <c r="AW206" s="73">
        <v>9722.82559</v>
      </c>
      <c r="AX206" s="73">
        <v>0.0</v>
      </c>
      <c r="AY206" s="73">
        <v>9722.82559</v>
      </c>
      <c r="AZ206" s="73"/>
      <c r="BA206" s="73"/>
      <c r="BB206" s="73"/>
      <c r="BC206" s="73">
        <f t="shared" ref="BC206:BE206" si="1060">AQ206+AW206</f>
        <v>15024.37769</v>
      </c>
      <c r="BD206" s="73">
        <f t="shared" si="1060"/>
        <v>0</v>
      </c>
      <c r="BE206" s="73">
        <f t="shared" si="1060"/>
        <v>15024.37769</v>
      </c>
      <c r="BF206" s="73"/>
      <c r="BG206" s="73"/>
      <c r="BH206" s="73"/>
      <c r="BI206" s="73"/>
      <c r="BJ206" s="73"/>
      <c r="BK206" s="73"/>
      <c r="BL206" s="73"/>
      <c r="BM206" s="73"/>
      <c r="BN206" s="73"/>
      <c r="BO206" s="73"/>
      <c r="BP206" s="73"/>
      <c r="BQ206" s="73"/>
      <c r="BR206" s="73"/>
      <c r="BS206" s="73"/>
      <c r="BT206" s="73"/>
      <c r="BU206" s="73"/>
      <c r="BV206" s="73"/>
      <c r="BW206" s="73"/>
      <c r="BX206" s="73"/>
      <c r="BY206" s="73"/>
      <c r="BZ206" s="73"/>
      <c r="CA206" s="73"/>
      <c r="CB206" s="73"/>
      <c r="CC206" s="73"/>
      <c r="CD206" s="73"/>
      <c r="CE206" s="73"/>
      <c r="CF206" s="73"/>
      <c r="CG206" s="73"/>
      <c r="CH206" s="73"/>
      <c r="CI206" s="73"/>
      <c r="CJ206" s="73"/>
      <c r="CK206" s="73"/>
      <c r="CL206" s="73"/>
      <c r="CM206" s="73"/>
      <c r="CN206" s="73"/>
      <c r="CO206" s="73"/>
      <c r="CP206" s="73"/>
      <c r="CQ206" s="73"/>
      <c r="CR206" s="73"/>
      <c r="CS206" s="73"/>
      <c r="CT206" s="73"/>
      <c r="CU206" s="73"/>
      <c r="CV206" s="73"/>
      <c r="CW206" s="73"/>
      <c r="CX206" s="73"/>
      <c r="CY206" s="73"/>
      <c r="CZ206" s="73"/>
      <c r="DA206" s="73"/>
      <c r="DB206" s="73"/>
      <c r="DC206" s="73"/>
      <c r="DD206" s="73"/>
      <c r="DE206" s="73"/>
      <c r="DF206" s="73"/>
      <c r="DG206" s="73"/>
      <c r="DH206" s="73"/>
      <c r="DI206" s="73"/>
      <c r="DJ206" s="73"/>
      <c r="DK206" s="73"/>
      <c r="DL206" s="73"/>
      <c r="DM206" s="73"/>
      <c r="DN206" s="73"/>
      <c r="DO206" s="73"/>
      <c r="DP206" s="73"/>
      <c r="DQ206" s="73"/>
      <c r="DR206" s="73"/>
      <c r="DS206" s="73"/>
      <c r="DT206" s="73"/>
      <c r="DU206" s="73"/>
      <c r="DV206" s="73"/>
      <c r="DW206" s="73"/>
      <c r="DX206" s="73"/>
      <c r="DY206" s="73"/>
      <c r="DZ206" s="73"/>
      <c r="EA206" s="76" t="s">
        <v>158</v>
      </c>
    </row>
    <row r="207" ht="21.75" customHeight="1">
      <c r="A207" s="64"/>
      <c r="B207" s="70"/>
      <c r="C207" s="71"/>
      <c r="D207" s="71"/>
      <c r="E207" s="71"/>
      <c r="F207" s="81" t="s">
        <v>52</v>
      </c>
      <c r="G207" s="73"/>
      <c r="H207" s="73"/>
      <c r="I207" s="73"/>
      <c r="J207" s="73"/>
      <c r="K207" s="73"/>
      <c r="L207" s="73"/>
      <c r="M207" s="73">
        <v>0.0</v>
      </c>
      <c r="N207" s="73">
        <v>0.0</v>
      </c>
      <c r="O207" s="73">
        <v>0.0</v>
      </c>
      <c r="P207" s="73"/>
      <c r="Q207" s="73"/>
      <c r="R207" s="73"/>
      <c r="S207" s="73">
        <v>0.0</v>
      </c>
      <c r="T207" s="73">
        <v>0.0</v>
      </c>
      <c r="U207" s="73">
        <v>0.0</v>
      </c>
      <c r="V207" s="73"/>
      <c r="W207" s="73"/>
      <c r="X207" s="73"/>
      <c r="Y207" s="73">
        <v>0.0</v>
      </c>
      <c r="Z207" s="73">
        <v>0.0</v>
      </c>
      <c r="AA207" s="73">
        <v>0.0</v>
      </c>
      <c r="AB207" s="73"/>
      <c r="AC207" s="73"/>
      <c r="AD207" s="73"/>
      <c r="AE207" s="73">
        <f t="shared" ref="AE207:AG207" si="1061">M207+S207+Y207</f>
        <v>0</v>
      </c>
      <c r="AF207" s="73">
        <f t="shared" si="1061"/>
        <v>0</v>
      </c>
      <c r="AG207" s="73">
        <f t="shared" si="1061"/>
        <v>0</v>
      </c>
      <c r="AH207" s="73"/>
      <c r="AI207" s="73"/>
      <c r="AJ207" s="73"/>
      <c r="AK207" s="73">
        <f t="shared" ref="AK207:AK209" si="1065">AL207+AM207</f>
        <v>2514.6736</v>
      </c>
      <c r="AL207" s="73">
        <v>0.0</v>
      </c>
      <c r="AM207" s="73">
        <v>2514.6736</v>
      </c>
      <c r="AN207" s="73"/>
      <c r="AO207" s="73"/>
      <c r="AP207" s="73"/>
      <c r="AQ207" s="73">
        <f t="shared" ref="AQ207:AS207" si="1062">AE207+AK207</f>
        <v>2514.6736</v>
      </c>
      <c r="AR207" s="73">
        <f t="shared" si="1062"/>
        <v>0</v>
      </c>
      <c r="AS207" s="73">
        <f t="shared" si="1062"/>
        <v>2514.6736</v>
      </c>
      <c r="AT207" s="73"/>
      <c r="AU207" s="73"/>
      <c r="AV207" s="73"/>
      <c r="AW207" s="73">
        <v>-0.77089</v>
      </c>
      <c r="AX207" s="73">
        <v>0.0</v>
      </c>
      <c r="AY207" s="73">
        <v>-0.77089</v>
      </c>
      <c r="AZ207" s="73"/>
      <c r="BA207" s="73"/>
      <c r="BB207" s="73"/>
      <c r="BC207" s="73">
        <f t="shared" ref="BC207:BE207" si="1063">AQ207+AW207</f>
        <v>2513.90271</v>
      </c>
      <c r="BD207" s="73">
        <f t="shared" si="1063"/>
        <v>0</v>
      </c>
      <c r="BE207" s="73">
        <f t="shared" si="1063"/>
        <v>2513.90271</v>
      </c>
      <c r="BF207" s="73"/>
      <c r="BG207" s="73"/>
      <c r="BH207" s="73"/>
      <c r="BI207" s="73"/>
      <c r="BJ207" s="73"/>
      <c r="BK207" s="73"/>
      <c r="BL207" s="73"/>
      <c r="BM207" s="73"/>
      <c r="BN207" s="73"/>
      <c r="BO207" s="73"/>
      <c r="BP207" s="73"/>
      <c r="BQ207" s="73"/>
      <c r="BR207" s="73"/>
      <c r="BS207" s="73"/>
      <c r="BT207" s="73"/>
      <c r="BU207" s="73"/>
      <c r="BV207" s="73"/>
      <c r="BW207" s="73"/>
      <c r="BX207" s="73"/>
      <c r="BY207" s="73"/>
      <c r="BZ207" s="73"/>
      <c r="CA207" s="73"/>
      <c r="CB207" s="73"/>
      <c r="CC207" s="73"/>
      <c r="CD207" s="73"/>
      <c r="CE207" s="73"/>
      <c r="CF207" s="73"/>
      <c r="CG207" s="73"/>
      <c r="CH207" s="73"/>
      <c r="CI207" s="73"/>
      <c r="CJ207" s="73"/>
      <c r="CK207" s="73"/>
      <c r="CL207" s="73"/>
      <c r="CM207" s="73"/>
      <c r="CN207" s="73"/>
      <c r="CO207" s="73"/>
      <c r="CP207" s="73"/>
      <c r="CQ207" s="73"/>
      <c r="CR207" s="73"/>
      <c r="CS207" s="73"/>
      <c r="CT207" s="73"/>
      <c r="CU207" s="73"/>
      <c r="CV207" s="73"/>
      <c r="CW207" s="73"/>
      <c r="CX207" s="73"/>
      <c r="CY207" s="73"/>
      <c r="CZ207" s="73"/>
      <c r="DA207" s="73"/>
      <c r="DB207" s="73"/>
      <c r="DC207" s="73"/>
      <c r="DD207" s="73"/>
      <c r="DE207" s="73"/>
      <c r="DF207" s="73"/>
      <c r="DG207" s="73"/>
      <c r="DH207" s="73"/>
      <c r="DI207" s="73"/>
      <c r="DJ207" s="73"/>
      <c r="DK207" s="73"/>
      <c r="DL207" s="73"/>
      <c r="DM207" s="73"/>
      <c r="DN207" s="73"/>
      <c r="DO207" s="73"/>
      <c r="DP207" s="73"/>
      <c r="DQ207" s="73"/>
      <c r="DR207" s="73"/>
      <c r="DS207" s="73"/>
      <c r="DT207" s="73"/>
      <c r="DU207" s="74"/>
      <c r="DV207" s="74"/>
      <c r="DW207" s="72"/>
      <c r="DX207" s="72"/>
      <c r="DY207" s="72"/>
      <c r="DZ207" s="75"/>
      <c r="EA207" s="76" t="s">
        <v>159</v>
      </c>
    </row>
    <row r="208" ht="21.75" customHeight="1">
      <c r="A208" s="64"/>
      <c r="B208" s="92"/>
      <c r="C208" s="72"/>
      <c r="D208" s="71"/>
      <c r="E208" s="71"/>
      <c r="F208" s="78" t="s">
        <v>53</v>
      </c>
      <c r="G208" s="73"/>
      <c r="H208" s="73"/>
      <c r="I208" s="73"/>
      <c r="J208" s="73"/>
      <c r="K208" s="73"/>
      <c r="L208" s="73"/>
      <c r="M208" s="79">
        <f t="shared" ref="M208:M209" si="1068">N208+O208</f>
        <v>0</v>
      </c>
      <c r="N208" s="79">
        <v>0.0</v>
      </c>
      <c r="O208" s="79">
        <v>0.0</v>
      </c>
      <c r="P208" s="79"/>
      <c r="Q208" s="79"/>
      <c r="R208" s="79"/>
      <c r="S208" s="79">
        <f t="shared" ref="S208:S209" si="1069">T208+U208</f>
        <v>0</v>
      </c>
      <c r="T208" s="79">
        <v>0.0</v>
      </c>
      <c r="U208" s="79">
        <v>0.0</v>
      </c>
      <c r="V208" s="79"/>
      <c r="W208" s="79"/>
      <c r="X208" s="79"/>
      <c r="Y208" s="79">
        <f t="shared" ref="Y208:Y209" si="1070">Z208+AA208</f>
        <v>18799</v>
      </c>
      <c r="Z208" s="79">
        <v>0.0</v>
      </c>
      <c r="AA208" s="79">
        <v>18799.0</v>
      </c>
      <c r="AB208" s="79"/>
      <c r="AC208" s="79"/>
      <c r="AD208" s="79"/>
      <c r="AE208" s="79">
        <f t="shared" ref="AE208:AG208" si="1064">M208+S208+Y208</f>
        <v>18799</v>
      </c>
      <c r="AF208" s="79">
        <f t="shared" si="1064"/>
        <v>0</v>
      </c>
      <c r="AG208" s="79">
        <f t="shared" si="1064"/>
        <v>18799</v>
      </c>
      <c r="AH208" s="73"/>
      <c r="AI208" s="73"/>
      <c r="AJ208" s="73"/>
      <c r="AK208" s="79">
        <f t="shared" si="1065"/>
        <v>3860.0364</v>
      </c>
      <c r="AL208" s="79">
        <v>0.0</v>
      </c>
      <c r="AM208" s="79">
        <v>3860.0364</v>
      </c>
      <c r="AN208" s="73"/>
      <c r="AO208" s="73"/>
      <c r="AP208" s="73"/>
      <c r="AQ208" s="79">
        <f t="shared" ref="AQ208:AS208" si="1066">AE208+AK208</f>
        <v>22659.0364</v>
      </c>
      <c r="AR208" s="79">
        <f t="shared" si="1066"/>
        <v>0</v>
      </c>
      <c r="AS208" s="79">
        <f t="shared" si="1066"/>
        <v>22659.0364</v>
      </c>
      <c r="AT208" s="73"/>
      <c r="AU208" s="73"/>
      <c r="AV208" s="73"/>
      <c r="AW208" s="79">
        <v>0.0</v>
      </c>
      <c r="AX208" s="79">
        <v>0.0</v>
      </c>
      <c r="AY208" s="79">
        <v>0.0</v>
      </c>
      <c r="AZ208" s="73"/>
      <c r="BA208" s="73"/>
      <c r="BB208" s="73"/>
      <c r="BC208" s="79">
        <f t="shared" ref="BC208:BE208" si="1067">AQ208+AW208</f>
        <v>22659.0364</v>
      </c>
      <c r="BD208" s="79">
        <f t="shared" si="1067"/>
        <v>0</v>
      </c>
      <c r="BE208" s="79">
        <f t="shared" si="1067"/>
        <v>22659.0364</v>
      </c>
      <c r="BF208" s="73"/>
      <c r="BG208" s="73"/>
      <c r="BH208" s="73"/>
      <c r="BI208" s="73"/>
      <c r="BJ208" s="73"/>
      <c r="BK208" s="73"/>
      <c r="BL208" s="73"/>
      <c r="BM208" s="73"/>
      <c r="BN208" s="73"/>
      <c r="BO208" s="73"/>
      <c r="BP208" s="73"/>
      <c r="BQ208" s="73"/>
      <c r="BR208" s="73"/>
      <c r="BS208" s="73"/>
      <c r="BT208" s="73"/>
      <c r="BU208" s="73"/>
      <c r="BV208" s="73"/>
      <c r="BW208" s="73"/>
      <c r="BX208" s="73"/>
      <c r="BY208" s="73"/>
      <c r="BZ208" s="73"/>
      <c r="CA208" s="73"/>
      <c r="CB208" s="73"/>
      <c r="CC208" s="73"/>
      <c r="CD208" s="73"/>
      <c r="CE208" s="73"/>
      <c r="CF208" s="73"/>
      <c r="CG208" s="73"/>
      <c r="CH208" s="73"/>
      <c r="CI208" s="73"/>
      <c r="CJ208" s="73"/>
      <c r="CK208" s="73"/>
      <c r="CL208" s="73"/>
      <c r="CM208" s="73"/>
      <c r="CN208" s="73"/>
      <c r="CO208" s="73"/>
      <c r="CP208" s="73"/>
      <c r="CQ208" s="73"/>
      <c r="CR208" s="73"/>
      <c r="CS208" s="73"/>
      <c r="CT208" s="73"/>
      <c r="CU208" s="73"/>
      <c r="CV208" s="73"/>
      <c r="CW208" s="73"/>
      <c r="CX208" s="73"/>
      <c r="CY208" s="73"/>
      <c r="CZ208" s="73"/>
      <c r="DA208" s="73"/>
      <c r="DB208" s="73"/>
      <c r="DC208" s="73"/>
      <c r="DD208" s="73"/>
      <c r="DE208" s="73"/>
      <c r="DF208" s="73"/>
      <c r="DG208" s="73"/>
      <c r="DH208" s="73"/>
      <c r="DI208" s="73"/>
      <c r="DJ208" s="73"/>
      <c r="DK208" s="73"/>
      <c r="DL208" s="73"/>
      <c r="DM208" s="73"/>
      <c r="DN208" s="73"/>
      <c r="DO208" s="73"/>
      <c r="DP208" s="73"/>
      <c r="DQ208" s="73"/>
      <c r="DR208" s="73"/>
      <c r="DS208" s="73"/>
      <c r="DT208" s="73"/>
      <c r="DU208" s="74"/>
      <c r="DV208" s="74"/>
      <c r="DW208" s="72"/>
      <c r="DX208" s="72"/>
      <c r="DY208" s="72"/>
      <c r="DZ208" s="75"/>
      <c r="EA208" s="76" t="s">
        <v>160</v>
      </c>
    </row>
    <row r="209" ht="21.75" customHeight="1">
      <c r="A209" s="64"/>
      <c r="B209" s="92"/>
      <c r="C209" s="72"/>
      <c r="D209" s="71"/>
      <c r="E209" s="71"/>
      <c r="F209" s="78" t="s">
        <v>55</v>
      </c>
      <c r="G209" s="73"/>
      <c r="H209" s="73"/>
      <c r="I209" s="73"/>
      <c r="J209" s="73"/>
      <c r="K209" s="73"/>
      <c r="L209" s="73"/>
      <c r="M209" s="79">
        <f t="shared" si="1068"/>
        <v>0</v>
      </c>
      <c r="N209" s="79">
        <v>0.0</v>
      </c>
      <c r="O209" s="79">
        <v>0.0</v>
      </c>
      <c r="P209" s="79"/>
      <c r="Q209" s="79"/>
      <c r="R209" s="79"/>
      <c r="S209" s="79">
        <f t="shared" si="1069"/>
        <v>0</v>
      </c>
      <c r="T209" s="79">
        <v>0.0</v>
      </c>
      <c r="U209" s="79">
        <v>0.0</v>
      </c>
      <c r="V209" s="79"/>
      <c r="W209" s="79"/>
      <c r="X209" s="79"/>
      <c r="Y209" s="79">
        <f t="shared" si="1070"/>
        <v>0</v>
      </c>
      <c r="Z209" s="79">
        <v>0.0</v>
      </c>
      <c r="AA209" s="79">
        <v>0.0</v>
      </c>
      <c r="AB209" s="79"/>
      <c r="AC209" s="79"/>
      <c r="AD209" s="79"/>
      <c r="AE209" s="79">
        <f t="shared" ref="AE209:AG209" si="1071">M209+S209+Y209</f>
        <v>0</v>
      </c>
      <c r="AF209" s="79">
        <f t="shared" si="1071"/>
        <v>0</v>
      </c>
      <c r="AG209" s="79">
        <f t="shared" si="1071"/>
        <v>0</v>
      </c>
      <c r="AH209" s="73"/>
      <c r="AI209" s="73"/>
      <c r="AJ209" s="73"/>
      <c r="AK209" s="79">
        <f t="shared" si="1065"/>
        <v>0</v>
      </c>
      <c r="AL209" s="79">
        <v>0.0</v>
      </c>
      <c r="AM209" s="79">
        <v>0.0</v>
      </c>
      <c r="AN209" s="73"/>
      <c r="AO209" s="73"/>
      <c r="AP209" s="73"/>
      <c r="AQ209" s="79">
        <f t="shared" ref="AQ209:AS209" si="1072">AE209+AK209</f>
        <v>0</v>
      </c>
      <c r="AR209" s="79">
        <f t="shared" si="1072"/>
        <v>0</v>
      </c>
      <c r="AS209" s="79">
        <f t="shared" si="1072"/>
        <v>0</v>
      </c>
      <c r="AT209" s="73"/>
      <c r="AU209" s="73"/>
      <c r="AV209" s="73"/>
      <c r="AW209" s="79">
        <v>583.83502</v>
      </c>
      <c r="AX209" s="79">
        <v>0.0</v>
      </c>
      <c r="AY209" s="79">
        <v>583.83502</v>
      </c>
      <c r="AZ209" s="73"/>
      <c r="BA209" s="73"/>
      <c r="BB209" s="73"/>
      <c r="BC209" s="79">
        <f t="shared" ref="BC209:BE209" si="1073">AQ209+AW209</f>
        <v>583.83502</v>
      </c>
      <c r="BD209" s="79">
        <f t="shared" si="1073"/>
        <v>0</v>
      </c>
      <c r="BE209" s="79">
        <f t="shared" si="1073"/>
        <v>583.83502</v>
      </c>
      <c r="BF209" s="73"/>
      <c r="BG209" s="73"/>
      <c r="BH209" s="73"/>
      <c r="BI209" s="73"/>
      <c r="BJ209" s="73"/>
      <c r="BK209" s="73"/>
      <c r="BL209" s="73"/>
      <c r="BM209" s="73"/>
      <c r="BN209" s="73"/>
      <c r="BO209" s="73"/>
      <c r="BP209" s="73"/>
      <c r="BQ209" s="73"/>
      <c r="BR209" s="73"/>
      <c r="BS209" s="73"/>
      <c r="BT209" s="73"/>
      <c r="BU209" s="73"/>
      <c r="BV209" s="73"/>
      <c r="BW209" s="73"/>
      <c r="BX209" s="73"/>
      <c r="BY209" s="73"/>
      <c r="BZ209" s="73"/>
      <c r="CA209" s="73"/>
      <c r="CB209" s="73"/>
      <c r="CC209" s="73"/>
      <c r="CD209" s="73"/>
      <c r="CE209" s="73"/>
      <c r="CF209" s="73"/>
      <c r="CG209" s="73"/>
      <c r="CH209" s="73"/>
      <c r="CI209" s="73"/>
      <c r="CJ209" s="73"/>
      <c r="CK209" s="73"/>
      <c r="CL209" s="73"/>
      <c r="CM209" s="73"/>
      <c r="CN209" s="73"/>
      <c r="CO209" s="73"/>
      <c r="CP209" s="73"/>
      <c r="CQ209" s="73"/>
      <c r="CR209" s="73"/>
      <c r="CS209" s="73"/>
      <c r="CT209" s="73"/>
      <c r="CU209" s="73"/>
      <c r="CV209" s="73"/>
      <c r="CW209" s="73"/>
      <c r="CX209" s="73"/>
      <c r="CY209" s="73"/>
      <c r="CZ209" s="73"/>
      <c r="DA209" s="73"/>
      <c r="DB209" s="73"/>
      <c r="DC209" s="73"/>
      <c r="DD209" s="73"/>
      <c r="DE209" s="73"/>
      <c r="DF209" s="73"/>
      <c r="DG209" s="73"/>
      <c r="DH209" s="73"/>
      <c r="DI209" s="73"/>
      <c r="DJ209" s="73"/>
      <c r="DK209" s="73"/>
      <c r="DL209" s="73"/>
      <c r="DM209" s="73"/>
      <c r="DN209" s="73"/>
      <c r="DO209" s="73"/>
      <c r="DP209" s="73"/>
      <c r="DQ209" s="73"/>
      <c r="DR209" s="73"/>
      <c r="DS209" s="73"/>
      <c r="DT209" s="73"/>
      <c r="DU209" s="74"/>
      <c r="DV209" s="74"/>
      <c r="DW209" s="72"/>
      <c r="DX209" s="72"/>
      <c r="DY209" s="72"/>
      <c r="DZ209" s="75"/>
      <c r="EA209" s="76" t="s">
        <v>161</v>
      </c>
    </row>
    <row r="210" ht="21.75" customHeight="1">
      <c r="A210" s="64"/>
      <c r="B210" s="70" t="s">
        <v>40</v>
      </c>
      <c r="C210" s="71" t="s">
        <v>162</v>
      </c>
      <c r="D210" s="71" t="s">
        <v>41</v>
      </c>
      <c r="E210" s="71" t="s">
        <v>121</v>
      </c>
      <c r="F210" s="72" t="s">
        <v>163</v>
      </c>
      <c r="G210" s="73">
        <v>143311.0</v>
      </c>
      <c r="H210" s="73">
        <v>0.0</v>
      </c>
      <c r="I210" s="73">
        <v>143311.0</v>
      </c>
      <c r="J210" s="73">
        <f t="shared" ref="J210:L210" si="1074">J211+J213+J216</f>
        <v>0</v>
      </c>
      <c r="K210" s="73">
        <f t="shared" si="1074"/>
        <v>0</v>
      </c>
      <c r="L210" s="73">
        <f t="shared" si="1074"/>
        <v>0</v>
      </c>
      <c r="M210" s="73">
        <f t="shared" ref="M210:O210" si="1075">M211+M213+M216+M219+M220</f>
        <v>523.15985</v>
      </c>
      <c r="N210" s="73">
        <f t="shared" si="1075"/>
        <v>0</v>
      </c>
      <c r="O210" s="73">
        <f t="shared" si="1075"/>
        <v>523.15985</v>
      </c>
      <c r="P210" s="73">
        <f t="shared" ref="P210:R210" si="1076">P211+P213+P216</f>
        <v>0</v>
      </c>
      <c r="Q210" s="73">
        <f t="shared" si="1076"/>
        <v>0</v>
      </c>
      <c r="R210" s="73">
        <f t="shared" si="1076"/>
        <v>0</v>
      </c>
      <c r="S210" s="73">
        <f t="shared" ref="S210:U210" si="1077">S211+S213+S216+S219+S220</f>
        <v>478.12272</v>
      </c>
      <c r="T210" s="73">
        <f t="shared" si="1077"/>
        <v>0</v>
      </c>
      <c r="U210" s="73">
        <f t="shared" si="1077"/>
        <v>478.12272</v>
      </c>
      <c r="V210" s="73">
        <v>182.0</v>
      </c>
      <c r="W210" s="73">
        <f>W211+W213+W216</f>
        <v>0</v>
      </c>
      <c r="X210" s="73">
        <v>182.0</v>
      </c>
      <c r="Y210" s="73">
        <f t="shared" ref="Y210:AA210" si="1078">Y211+Y213+Y216+Y219+Y220</f>
        <v>84270</v>
      </c>
      <c r="Z210" s="73">
        <f t="shared" si="1078"/>
        <v>0</v>
      </c>
      <c r="AA210" s="73">
        <f t="shared" si="1078"/>
        <v>84270</v>
      </c>
      <c r="AB210" s="73">
        <f t="shared" ref="AB210:AG210" si="1079">J210+P210+V210</f>
        <v>182</v>
      </c>
      <c r="AC210" s="73">
        <f t="shared" si="1079"/>
        <v>0</v>
      </c>
      <c r="AD210" s="73">
        <f t="shared" si="1079"/>
        <v>182</v>
      </c>
      <c r="AE210" s="73">
        <f t="shared" si="1079"/>
        <v>85271.28257</v>
      </c>
      <c r="AF210" s="73">
        <f t="shared" si="1079"/>
        <v>0</v>
      </c>
      <c r="AG210" s="73">
        <f t="shared" si="1079"/>
        <v>85271.28257</v>
      </c>
      <c r="AH210" s="73">
        <v>617.0</v>
      </c>
      <c r="AI210" s="73">
        <v>0.0</v>
      </c>
      <c r="AJ210" s="73">
        <v>617.0</v>
      </c>
      <c r="AK210" s="73">
        <f t="shared" ref="AK210:AM210" si="1080">AK211+AK213+AK216+AK219+AK220</f>
        <v>47050.83049</v>
      </c>
      <c r="AL210" s="73">
        <f t="shared" si="1080"/>
        <v>0</v>
      </c>
      <c r="AM210" s="73">
        <f t="shared" si="1080"/>
        <v>47050.83049</v>
      </c>
      <c r="AN210" s="73">
        <f t="shared" ref="AN210:AS210" si="1081">AB210+AH210</f>
        <v>799</v>
      </c>
      <c r="AO210" s="73">
        <f t="shared" si="1081"/>
        <v>0</v>
      </c>
      <c r="AP210" s="73">
        <f t="shared" si="1081"/>
        <v>799</v>
      </c>
      <c r="AQ210" s="73">
        <f t="shared" si="1081"/>
        <v>132322.1131</v>
      </c>
      <c r="AR210" s="73">
        <f t="shared" si="1081"/>
        <v>0</v>
      </c>
      <c r="AS210" s="73">
        <f t="shared" si="1081"/>
        <v>132322.1131</v>
      </c>
      <c r="AT210" s="73">
        <v>926.0</v>
      </c>
      <c r="AU210" s="73">
        <v>0.0</v>
      </c>
      <c r="AV210" s="73">
        <v>926.0</v>
      </c>
      <c r="AW210" s="73">
        <f t="shared" ref="AW210:AY210" si="1082">AW211+AW213+AW216+AW219+AW220</f>
        <v>3502.81592</v>
      </c>
      <c r="AX210" s="73">
        <f t="shared" si="1082"/>
        <v>0</v>
      </c>
      <c r="AY210" s="73">
        <f t="shared" si="1082"/>
        <v>3502.81592</v>
      </c>
      <c r="AZ210" s="73">
        <f t="shared" ref="AZ210:BE210" si="1083">AN210+AT210</f>
        <v>1725</v>
      </c>
      <c r="BA210" s="73">
        <f t="shared" si="1083"/>
        <v>0</v>
      </c>
      <c r="BB210" s="73">
        <f t="shared" si="1083"/>
        <v>1725</v>
      </c>
      <c r="BC210" s="73">
        <f t="shared" si="1083"/>
        <v>135824.929</v>
      </c>
      <c r="BD210" s="73">
        <f t="shared" si="1083"/>
        <v>0</v>
      </c>
      <c r="BE210" s="73">
        <f t="shared" si="1083"/>
        <v>135824.929</v>
      </c>
      <c r="BF210" s="88" t="str">
        <f t="shared" ref="BF210:DY210" si="1084">BF218+#REF!+BF219+BF220</f>
        <v>#REF!</v>
      </c>
      <c r="BG210" s="88" t="str">
        <f t="shared" si="1084"/>
        <v>#REF!</v>
      </c>
      <c r="BH210" s="88" t="str">
        <f t="shared" si="1084"/>
        <v>#REF!</v>
      </c>
      <c r="BI210" s="88" t="str">
        <f t="shared" si="1084"/>
        <v>#REF!</v>
      </c>
      <c r="BJ210" s="88" t="str">
        <f t="shared" si="1084"/>
        <v>#REF!</v>
      </c>
      <c r="BK210" s="88" t="str">
        <f t="shared" si="1084"/>
        <v>#REF!</v>
      </c>
      <c r="BL210" s="88" t="str">
        <f t="shared" si="1084"/>
        <v>#REF!</v>
      </c>
      <c r="BM210" s="88" t="str">
        <f t="shared" si="1084"/>
        <v>#REF!</v>
      </c>
      <c r="BN210" s="88" t="str">
        <f t="shared" si="1084"/>
        <v>#REF!</v>
      </c>
      <c r="BO210" s="88" t="str">
        <f t="shared" si="1084"/>
        <v>#REF!</v>
      </c>
      <c r="BP210" s="88" t="str">
        <f t="shared" si="1084"/>
        <v>#REF!</v>
      </c>
      <c r="BQ210" s="88" t="str">
        <f t="shared" si="1084"/>
        <v>#REF!</v>
      </c>
      <c r="BR210" s="88" t="str">
        <f t="shared" si="1084"/>
        <v>#REF!</v>
      </c>
      <c r="BS210" s="88" t="str">
        <f t="shared" si="1084"/>
        <v>#REF!</v>
      </c>
      <c r="BT210" s="88" t="str">
        <f t="shared" si="1084"/>
        <v>#REF!</v>
      </c>
      <c r="BU210" s="88" t="str">
        <f t="shared" si="1084"/>
        <v>#REF!</v>
      </c>
      <c r="BV210" s="88" t="str">
        <f t="shared" si="1084"/>
        <v>#REF!</v>
      </c>
      <c r="BW210" s="88" t="str">
        <f t="shared" si="1084"/>
        <v>#REF!</v>
      </c>
      <c r="BX210" s="88" t="str">
        <f t="shared" si="1084"/>
        <v>#REF!</v>
      </c>
      <c r="BY210" s="88" t="str">
        <f t="shared" si="1084"/>
        <v>#REF!</v>
      </c>
      <c r="BZ210" s="88" t="str">
        <f t="shared" si="1084"/>
        <v>#REF!</v>
      </c>
      <c r="CA210" s="88" t="str">
        <f t="shared" si="1084"/>
        <v>#REF!</v>
      </c>
      <c r="CB210" s="88" t="str">
        <f t="shared" si="1084"/>
        <v>#REF!</v>
      </c>
      <c r="CC210" s="88" t="str">
        <f t="shared" si="1084"/>
        <v>#REF!</v>
      </c>
      <c r="CD210" s="88" t="str">
        <f t="shared" si="1084"/>
        <v>#REF!</v>
      </c>
      <c r="CE210" s="88" t="str">
        <f t="shared" si="1084"/>
        <v>#REF!</v>
      </c>
      <c r="CF210" s="88" t="str">
        <f t="shared" si="1084"/>
        <v>#REF!</v>
      </c>
      <c r="CG210" s="88" t="str">
        <f t="shared" si="1084"/>
        <v>#REF!</v>
      </c>
      <c r="CH210" s="88" t="str">
        <f t="shared" si="1084"/>
        <v>#REF!</v>
      </c>
      <c r="CI210" s="88" t="str">
        <f t="shared" si="1084"/>
        <v>#REF!</v>
      </c>
      <c r="CJ210" s="88" t="str">
        <f t="shared" si="1084"/>
        <v>#REF!</v>
      </c>
      <c r="CK210" s="88" t="str">
        <f t="shared" si="1084"/>
        <v>#REF!</v>
      </c>
      <c r="CL210" s="88" t="str">
        <f t="shared" si="1084"/>
        <v>#REF!</v>
      </c>
      <c r="CM210" s="88" t="str">
        <f t="shared" si="1084"/>
        <v>#REF!</v>
      </c>
      <c r="CN210" s="88" t="str">
        <f t="shared" si="1084"/>
        <v>#REF!</v>
      </c>
      <c r="CO210" s="88" t="str">
        <f t="shared" si="1084"/>
        <v>#REF!</v>
      </c>
      <c r="CP210" s="88" t="str">
        <f t="shared" si="1084"/>
        <v>#REF!</v>
      </c>
      <c r="CQ210" s="88" t="str">
        <f t="shared" si="1084"/>
        <v>#REF!</v>
      </c>
      <c r="CR210" s="88" t="str">
        <f t="shared" si="1084"/>
        <v>#REF!</v>
      </c>
      <c r="CS210" s="88" t="str">
        <f t="shared" si="1084"/>
        <v>#REF!</v>
      </c>
      <c r="CT210" s="88" t="str">
        <f t="shared" si="1084"/>
        <v>#REF!</v>
      </c>
      <c r="CU210" s="88" t="str">
        <f t="shared" si="1084"/>
        <v>#REF!</v>
      </c>
      <c r="CV210" s="88" t="str">
        <f t="shared" si="1084"/>
        <v>#REF!</v>
      </c>
      <c r="CW210" s="88" t="str">
        <f t="shared" si="1084"/>
        <v>#REF!</v>
      </c>
      <c r="CX210" s="88" t="str">
        <f t="shared" si="1084"/>
        <v>#REF!</v>
      </c>
      <c r="CY210" s="88" t="str">
        <f t="shared" si="1084"/>
        <v>#REF!</v>
      </c>
      <c r="CZ210" s="88" t="str">
        <f t="shared" si="1084"/>
        <v>#REF!</v>
      </c>
      <c r="DA210" s="88" t="str">
        <f t="shared" si="1084"/>
        <v>#REF!</v>
      </c>
      <c r="DB210" s="88" t="str">
        <f t="shared" si="1084"/>
        <v>#REF!</v>
      </c>
      <c r="DC210" s="88" t="str">
        <f t="shared" si="1084"/>
        <v>#REF!</v>
      </c>
      <c r="DD210" s="88" t="str">
        <f t="shared" si="1084"/>
        <v>#REF!</v>
      </c>
      <c r="DE210" s="88" t="str">
        <f t="shared" si="1084"/>
        <v>#REF!</v>
      </c>
      <c r="DF210" s="88" t="str">
        <f t="shared" si="1084"/>
        <v>#REF!</v>
      </c>
      <c r="DG210" s="88" t="str">
        <f t="shared" si="1084"/>
        <v>#REF!</v>
      </c>
      <c r="DH210" s="88" t="str">
        <f t="shared" si="1084"/>
        <v>#REF!</v>
      </c>
      <c r="DI210" s="88" t="str">
        <f t="shared" si="1084"/>
        <v>#REF!</v>
      </c>
      <c r="DJ210" s="88" t="str">
        <f t="shared" si="1084"/>
        <v>#REF!</v>
      </c>
      <c r="DK210" s="88" t="str">
        <f t="shared" si="1084"/>
        <v>#REF!</v>
      </c>
      <c r="DL210" s="88" t="str">
        <f t="shared" si="1084"/>
        <v>#REF!</v>
      </c>
      <c r="DM210" s="88" t="str">
        <f t="shared" si="1084"/>
        <v>#REF!</v>
      </c>
      <c r="DN210" s="88" t="str">
        <f t="shared" si="1084"/>
        <v>#REF!</v>
      </c>
      <c r="DO210" s="88" t="str">
        <f t="shared" si="1084"/>
        <v>#REF!</v>
      </c>
      <c r="DP210" s="88" t="str">
        <f t="shared" si="1084"/>
        <v>#REF!</v>
      </c>
      <c r="DQ210" s="88" t="str">
        <f t="shared" si="1084"/>
        <v>#REF!</v>
      </c>
      <c r="DR210" s="88" t="str">
        <f t="shared" si="1084"/>
        <v>#REF!</v>
      </c>
      <c r="DS210" s="88" t="str">
        <f t="shared" si="1084"/>
        <v>#REF!</v>
      </c>
      <c r="DT210" s="88" t="str">
        <f t="shared" si="1084"/>
        <v>#REF!</v>
      </c>
      <c r="DU210" s="89" t="str">
        <f t="shared" si="1084"/>
        <v>#REF!</v>
      </c>
      <c r="DV210" s="89" t="str">
        <f t="shared" si="1084"/>
        <v>#REF!</v>
      </c>
      <c r="DW210" s="89" t="str">
        <f t="shared" si="1084"/>
        <v>#REF!</v>
      </c>
      <c r="DX210" s="89" t="str">
        <f t="shared" si="1084"/>
        <v>#REF!</v>
      </c>
      <c r="DY210" s="89" t="str">
        <f t="shared" si="1084"/>
        <v>#REF!</v>
      </c>
      <c r="DZ210" s="74"/>
      <c r="EA210" s="76"/>
    </row>
    <row r="211" ht="21.75" customHeight="1">
      <c r="A211" s="64"/>
      <c r="B211" s="70"/>
      <c r="C211" s="71"/>
      <c r="D211" s="71"/>
      <c r="E211" s="71"/>
      <c r="F211" s="78" t="s">
        <v>46</v>
      </c>
      <c r="G211" s="73"/>
      <c r="H211" s="73"/>
      <c r="I211" s="73"/>
      <c r="J211" s="73"/>
      <c r="K211" s="73"/>
      <c r="L211" s="73"/>
      <c r="M211" s="79">
        <f t="shared" ref="M211:O211" si="1085">M212</f>
        <v>0</v>
      </c>
      <c r="N211" s="79">
        <f t="shared" si="1085"/>
        <v>0</v>
      </c>
      <c r="O211" s="79">
        <f t="shared" si="1085"/>
        <v>0</v>
      </c>
      <c r="P211" s="73"/>
      <c r="Q211" s="73"/>
      <c r="R211" s="73"/>
      <c r="S211" s="79">
        <f t="shared" ref="S211:U211" si="1086">S212</f>
        <v>0</v>
      </c>
      <c r="T211" s="79">
        <f t="shared" si="1086"/>
        <v>0</v>
      </c>
      <c r="U211" s="79">
        <f t="shared" si="1086"/>
        <v>0</v>
      </c>
      <c r="V211" s="73"/>
      <c r="W211" s="73"/>
      <c r="X211" s="73"/>
      <c r="Y211" s="79">
        <f t="shared" ref="Y211:AA211" si="1087">Y212</f>
        <v>0</v>
      </c>
      <c r="Z211" s="79">
        <f t="shared" si="1087"/>
        <v>0</v>
      </c>
      <c r="AA211" s="79">
        <f t="shared" si="1087"/>
        <v>0</v>
      </c>
      <c r="AB211" s="73"/>
      <c r="AC211" s="73"/>
      <c r="AD211" s="73"/>
      <c r="AE211" s="79">
        <f t="shared" ref="AE211:AG211" si="1088">M211+S211+Y211</f>
        <v>0</v>
      </c>
      <c r="AF211" s="79">
        <f t="shared" si="1088"/>
        <v>0</v>
      </c>
      <c r="AG211" s="79">
        <f t="shared" si="1088"/>
        <v>0</v>
      </c>
      <c r="AH211" s="88"/>
      <c r="AI211" s="88"/>
      <c r="AJ211" s="88"/>
      <c r="AK211" s="79">
        <f t="shared" ref="AK211:AM211" si="1089">AK212</f>
        <v>0</v>
      </c>
      <c r="AL211" s="79">
        <f t="shared" si="1089"/>
        <v>0</v>
      </c>
      <c r="AM211" s="79">
        <f t="shared" si="1089"/>
        <v>0</v>
      </c>
      <c r="AN211" s="73"/>
      <c r="AO211" s="73"/>
      <c r="AP211" s="73"/>
      <c r="AQ211" s="79">
        <f t="shared" ref="AQ211:AS211" si="1090">AE211+AK211</f>
        <v>0</v>
      </c>
      <c r="AR211" s="79">
        <f t="shared" si="1090"/>
        <v>0</v>
      </c>
      <c r="AS211" s="79">
        <f t="shared" si="1090"/>
        <v>0</v>
      </c>
      <c r="AT211" s="73"/>
      <c r="AU211" s="73"/>
      <c r="AV211" s="73"/>
      <c r="AW211" s="79">
        <v>0.0</v>
      </c>
      <c r="AX211" s="79">
        <v>0.0</v>
      </c>
      <c r="AY211" s="79">
        <v>0.0</v>
      </c>
      <c r="AZ211" s="73"/>
      <c r="BA211" s="73"/>
      <c r="BB211" s="73"/>
      <c r="BC211" s="79">
        <f t="shared" ref="BC211:BE211" si="1091">AQ211+AW211</f>
        <v>0</v>
      </c>
      <c r="BD211" s="79">
        <f t="shared" si="1091"/>
        <v>0</v>
      </c>
      <c r="BE211" s="79">
        <f t="shared" si="1091"/>
        <v>0</v>
      </c>
      <c r="BF211" s="88"/>
      <c r="BG211" s="88"/>
      <c r="BH211" s="88"/>
      <c r="BI211" s="88"/>
      <c r="BJ211" s="88"/>
      <c r="BK211" s="88"/>
      <c r="BL211" s="88"/>
      <c r="BM211" s="88"/>
      <c r="BN211" s="88"/>
      <c r="BO211" s="88"/>
      <c r="BP211" s="88"/>
      <c r="BQ211" s="88"/>
      <c r="BR211" s="88"/>
      <c r="BS211" s="88"/>
      <c r="BT211" s="88"/>
      <c r="BU211" s="88"/>
      <c r="BV211" s="88"/>
      <c r="BW211" s="88"/>
      <c r="BX211" s="88"/>
      <c r="BY211" s="88"/>
      <c r="BZ211" s="88"/>
      <c r="CA211" s="88"/>
      <c r="CB211" s="88"/>
      <c r="CC211" s="88"/>
      <c r="CD211" s="88"/>
      <c r="CE211" s="88"/>
      <c r="CF211" s="88"/>
      <c r="CG211" s="88"/>
      <c r="CH211" s="88"/>
      <c r="CI211" s="88"/>
      <c r="CJ211" s="88"/>
      <c r="CK211" s="88"/>
      <c r="CL211" s="88"/>
      <c r="CM211" s="88"/>
      <c r="CN211" s="88"/>
      <c r="CO211" s="88"/>
      <c r="CP211" s="88"/>
      <c r="CQ211" s="88"/>
      <c r="CR211" s="88"/>
      <c r="CS211" s="88"/>
      <c r="CT211" s="88"/>
      <c r="CU211" s="88"/>
      <c r="CV211" s="88"/>
      <c r="CW211" s="88"/>
      <c r="CX211" s="88"/>
      <c r="CY211" s="88"/>
      <c r="CZ211" s="88"/>
      <c r="DA211" s="88"/>
      <c r="DB211" s="88"/>
      <c r="DC211" s="88"/>
      <c r="DD211" s="88"/>
      <c r="DE211" s="88"/>
      <c r="DF211" s="88"/>
      <c r="DG211" s="88"/>
      <c r="DH211" s="88"/>
      <c r="DI211" s="88"/>
      <c r="DJ211" s="88"/>
      <c r="DK211" s="88"/>
      <c r="DL211" s="88"/>
      <c r="DM211" s="88"/>
      <c r="DN211" s="88"/>
      <c r="DO211" s="88"/>
      <c r="DP211" s="88"/>
      <c r="DQ211" s="88"/>
      <c r="DR211" s="88"/>
      <c r="DS211" s="88"/>
      <c r="DT211" s="88"/>
      <c r="DU211" s="89"/>
      <c r="DV211" s="89"/>
      <c r="DW211" s="89"/>
      <c r="DX211" s="89"/>
      <c r="DY211" s="89"/>
      <c r="DZ211" s="74"/>
      <c r="EA211" s="76"/>
    </row>
    <row r="212" ht="21.75" customHeight="1">
      <c r="A212" s="64"/>
      <c r="B212" s="70"/>
      <c r="C212" s="71"/>
      <c r="D212" s="71"/>
      <c r="E212" s="71"/>
      <c r="F212" s="81" t="s">
        <v>47</v>
      </c>
      <c r="G212" s="73"/>
      <c r="H212" s="73"/>
      <c r="I212" s="73"/>
      <c r="J212" s="73"/>
      <c r="K212" s="73"/>
      <c r="L212" s="73"/>
      <c r="M212" s="73">
        <v>0.0</v>
      </c>
      <c r="N212" s="73">
        <v>0.0</v>
      </c>
      <c r="O212" s="73">
        <v>0.0</v>
      </c>
      <c r="P212" s="73"/>
      <c r="Q212" s="73"/>
      <c r="R212" s="73"/>
      <c r="S212" s="73">
        <v>0.0</v>
      </c>
      <c r="T212" s="73">
        <v>0.0</v>
      </c>
      <c r="U212" s="73">
        <v>0.0</v>
      </c>
      <c r="V212" s="73"/>
      <c r="W212" s="73"/>
      <c r="X212" s="73"/>
      <c r="Y212" s="73">
        <v>0.0</v>
      </c>
      <c r="Z212" s="73">
        <v>0.0</v>
      </c>
      <c r="AA212" s="73">
        <v>0.0</v>
      </c>
      <c r="AB212" s="73"/>
      <c r="AC212" s="73"/>
      <c r="AD212" s="73"/>
      <c r="AE212" s="73">
        <f t="shared" ref="AE212:AG212" si="1092">M212+S212+Y212</f>
        <v>0</v>
      </c>
      <c r="AF212" s="73">
        <f t="shared" si="1092"/>
        <v>0</v>
      </c>
      <c r="AG212" s="73">
        <f t="shared" si="1092"/>
        <v>0</v>
      </c>
      <c r="AH212" s="88"/>
      <c r="AI212" s="88"/>
      <c r="AJ212" s="88"/>
      <c r="AK212" s="73">
        <v>0.0</v>
      </c>
      <c r="AL212" s="73">
        <v>0.0</v>
      </c>
      <c r="AM212" s="73">
        <v>0.0</v>
      </c>
      <c r="AN212" s="73"/>
      <c r="AO212" s="73"/>
      <c r="AP212" s="73"/>
      <c r="AQ212" s="73">
        <f t="shared" ref="AQ212:AS212" si="1093">AE212+AK212</f>
        <v>0</v>
      </c>
      <c r="AR212" s="73">
        <f t="shared" si="1093"/>
        <v>0</v>
      </c>
      <c r="AS212" s="73">
        <f t="shared" si="1093"/>
        <v>0</v>
      </c>
      <c r="AT212" s="73"/>
      <c r="AU212" s="73"/>
      <c r="AV212" s="73"/>
      <c r="AW212" s="73">
        <v>0.0</v>
      </c>
      <c r="AX212" s="73">
        <v>0.0</v>
      </c>
      <c r="AY212" s="73">
        <v>0.0</v>
      </c>
      <c r="AZ212" s="73"/>
      <c r="BA212" s="73"/>
      <c r="BB212" s="73"/>
      <c r="BC212" s="73">
        <f t="shared" ref="BC212:BE212" si="1094">AQ212+AW212</f>
        <v>0</v>
      </c>
      <c r="BD212" s="73">
        <f t="shared" si="1094"/>
        <v>0</v>
      </c>
      <c r="BE212" s="73">
        <f t="shared" si="1094"/>
        <v>0</v>
      </c>
      <c r="BF212" s="88"/>
      <c r="BG212" s="88"/>
      <c r="BH212" s="88"/>
      <c r="BI212" s="88"/>
      <c r="BJ212" s="88"/>
      <c r="BK212" s="88"/>
      <c r="BL212" s="88"/>
      <c r="BM212" s="88"/>
      <c r="BN212" s="88"/>
      <c r="BO212" s="88"/>
      <c r="BP212" s="88"/>
      <c r="BQ212" s="88"/>
      <c r="BR212" s="88"/>
      <c r="BS212" s="88"/>
      <c r="BT212" s="88"/>
      <c r="BU212" s="88"/>
      <c r="BV212" s="88"/>
      <c r="BW212" s="88"/>
      <c r="BX212" s="88"/>
      <c r="BY212" s="88"/>
      <c r="BZ212" s="88"/>
      <c r="CA212" s="88"/>
      <c r="CB212" s="88"/>
      <c r="CC212" s="88"/>
      <c r="CD212" s="88"/>
      <c r="CE212" s="88"/>
      <c r="CF212" s="88"/>
      <c r="CG212" s="88"/>
      <c r="CH212" s="88"/>
      <c r="CI212" s="88"/>
      <c r="CJ212" s="88"/>
      <c r="CK212" s="88"/>
      <c r="CL212" s="88"/>
      <c r="CM212" s="88"/>
      <c r="CN212" s="88"/>
      <c r="CO212" s="88"/>
      <c r="CP212" s="88"/>
      <c r="CQ212" s="88"/>
      <c r="CR212" s="88"/>
      <c r="CS212" s="88"/>
      <c r="CT212" s="88"/>
      <c r="CU212" s="88"/>
      <c r="CV212" s="88"/>
      <c r="CW212" s="88"/>
      <c r="CX212" s="88"/>
      <c r="CY212" s="88"/>
      <c r="CZ212" s="88"/>
      <c r="DA212" s="88"/>
      <c r="DB212" s="88"/>
      <c r="DC212" s="88"/>
      <c r="DD212" s="88"/>
      <c r="DE212" s="88"/>
      <c r="DF212" s="88"/>
      <c r="DG212" s="88"/>
      <c r="DH212" s="88"/>
      <c r="DI212" s="88"/>
      <c r="DJ212" s="88"/>
      <c r="DK212" s="88"/>
      <c r="DL212" s="88"/>
      <c r="DM212" s="88"/>
      <c r="DN212" s="88"/>
      <c r="DO212" s="88"/>
      <c r="DP212" s="88"/>
      <c r="DQ212" s="88"/>
      <c r="DR212" s="88"/>
      <c r="DS212" s="88"/>
      <c r="DT212" s="88"/>
      <c r="DU212" s="89"/>
      <c r="DV212" s="89"/>
      <c r="DW212" s="89"/>
      <c r="DX212" s="89"/>
      <c r="DY212" s="89"/>
      <c r="DZ212" s="74"/>
      <c r="EA212" s="76"/>
    </row>
    <row r="213" ht="21.75" customHeight="1">
      <c r="A213" s="64"/>
      <c r="B213" s="70"/>
      <c r="C213" s="71"/>
      <c r="D213" s="71"/>
      <c r="E213" s="71"/>
      <c r="F213" s="78" t="s">
        <v>48</v>
      </c>
      <c r="G213" s="73"/>
      <c r="H213" s="73"/>
      <c r="I213" s="73"/>
      <c r="J213" s="73"/>
      <c r="K213" s="73"/>
      <c r="L213" s="73"/>
      <c r="M213" s="79">
        <f t="shared" ref="M213:O213" si="1095">M214+M215</f>
        <v>523.15985</v>
      </c>
      <c r="N213" s="79">
        <f t="shared" si="1095"/>
        <v>0</v>
      </c>
      <c r="O213" s="79">
        <f t="shared" si="1095"/>
        <v>523.15985</v>
      </c>
      <c r="P213" s="79"/>
      <c r="Q213" s="79"/>
      <c r="R213" s="79"/>
      <c r="S213" s="79">
        <f t="shared" ref="S213:U213" si="1096">S214+S215</f>
        <v>478.12272</v>
      </c>
      <c r="T213" s="79">
        <f t="shared" si="1096"/>
        <v>0</v>
      </c>
      <c r="U213" s="79">
        <f t="shared" si="1096"/>
        <v>478.12272</v>
      </c>
      <c r="V213" s="79"/>
      <c r="W213" s="79"/>
      <c r="X213" s="79"/>
      <c r="Y213" s="79">
        <f t="shared" ref="Y213:AA213" si="1097">Y214+Y215</f>
        <v>261</v>
      </c>
      <c r="Z213" s="79">
        <f t="shared" si="1097"/>
        <v>0</v>
      </c>
      <c r="AA213" s="79">
        <f t="shared" si="1097"/>
        <v>261</v>
      </c>
      <c r="AB213" s="79"/>
      <c r="AC213" s="79"/>
      <c r="AD213" s="79"/>
      <c r="AE213" s="79">
        <f t="shared" ref="AE213:AG213" si="1098">M213+S213+Y213</f>
        <v>1262.28257</v>
      </c>
      <c r="AF213" s="79">
        <f t="shared" si="1098"/>
        <v>0</v>
      </c>
      <c r="AG213" s="79">
        <f t="shared" si="1098"/>
        <v>1262.28257</v>
      </c>
      <c r="AH213" s="88"/>
      <c r="AI213" s="88"/>
      <c r="AJ213" s="88"/>
      <c r="AK213" s="79">
        <f t="shared" ref="AK213:AM213" si="1099">AK214+AK215</f>
        <v>429.39534</v>
      </c>
      <c r="AL213" s="79">
        <f t="shared" si="1099"/>
        <v>0</v>
      </c>
      <c r="AM213" s="79">
        <f t="shared" si="1099"/>
        <v>429.39534</v>
      </c>
      <c r="AN213" s="73"/>
      <c r="AO213" s="73"/>
      <c r="AP213" s="73"/>
      <c r="AQ213" s="79">
        <f t="shared" ref="AQ213:AS213" si="1100">AE213+AK213</f>
        <v>1691.67791</v>
      </c>
      <c r="AR213" s="79">
        <f t="shared" si="1100"/>
        <v>0</v>
      </c>
      <c r="AS213" s="79">
        <f t="shared" si="1100"/>
        <v>1691.67791</v>
      </c>
      <c r="AT213" s="73"/>
      <c r="AU213" s="73"/>
      <c r="AV213" s="73"/>
      <c r="AW213" s="79">
        <f t="shared" ref="AW213:AY213" si="1101">AW214</f>
        <v>367.33168</v>
      </c>
      <c r="AX213" s="79">
        <f t="shared" si="1101"/>
        <v>0</v>
      </c>
      <c r="AY213" s="79">
        <f t="shared" si="1101"/>
        <v>367.33168</v>
      </c>
      <c r="AZ213" s="73"/>
      <c r="BA213" s="73"/>
      <c r="BB213" s="73"/>
      <c r="BC213" s="79">
        <f t="shared" ref="BC213:BE213" si="1102">AQ213+AW213</f>
        <v>2059.00959</v>
      </c>
      <c r="BD213" s="79">
        <f t="shared" si="1102"/>
        <v>0</v>
      </c>
      <c r="BE213" s="79">
        <f t="shared" si="1102"/>
        <v>2059.00959</v>
      </c>
      <c r="BF213" s="88"/>
      <c r="BG213" s="88"/>
      <c r="BH213" s="88"/>
      <c r="BI213" s="88"/>
      <c r="BJ213" s="88"/>
      <c r="BK213" s="88"/>
      <c r="BL213" s="88"/>
      <c r="BM213" s="88"/>
      <c r="BN213" s="88"/>
      <c r="BO213" s="88"/>
      <c r="BP213" s="88"/>
      <c r="BQ213" s="88"/>
      <c r="BR213" s="88"/>
      <c r="BS213" s="88"/>
      <c r="BT213" s="88"/>
      <c r="BU213" s="88"/>
      <c r="BV213" s="88"/>
      <c r="BW213" s="88"/>
      <c r="BX213" s="88"/>
      <c r="BY213" s="88"/>
      <c r="BZ213" s="88"/>
      <c r="CA213" s="88"/>
      <c r="CB213" s="88"/>
      <c r="CC213" s="88"/>
      <c r="CD213" s="88"/>
      <c r="CE213" s="88"/>
      <c r="CF213" s="88"/>
      <c r="CG213" s="88"/>
      <c r="CH213" s="88"/>
      <c r="CI213" s="88"/>
      <c r="CJ213" s="88"/>
      <c r="CK213" s="88"/>
      <c r="CL213" s="88"/>
      <c r="CM213" s="88"/>
      <c r="CN213" s="88"/>
      <c r="CO213" s="88"/>
      <c r="CP213" s="88"/>
      <c r="CQ213" s="88"/>
      <c r="CR213" s="88"/>
      <c r="CS213" s="88"/>
      <c r="CT213" s="88"/>
      <c r="CU213" s="88"/>
      <c r="CV213" s="88"/>
      <c r="CW213" s="88"/>
      <c r="CX213" s="88"/>
      <c r="CY213" s="88"/>
      <c r="CZ213" s="88"/>
      <c r="DA213" s="88"/>
      <c r="DB213" s="88"/>
      <c r="DC213" s="88"/>
      <c r="DD213" s="88"/>
      <c r="DE213" s="88"/>
      <c r="DF213" s="88"/>
      <c r="DG213" s="88"/>
      <c r="DH213" s="88"/>
      <c r="DI213" s="88"/>
      <c r="DJ213" s="88"/>
      <c r="DK213" s="88"/>
      <c r="DL213" s="88"/>
      <c r="DM213" s="88"/>
      <c r="DN213" s="88"/>
      <c r="DO213" s="88"/>
      <c r="DP213" s="88"/>
      <c r="DQ213" s="88"/>
      <c r="DR213" s="88"/>
      <c r="DS213" s="88"/>
      <c r="DT213" s="88"/>
      <c r="DU213" s="89"/>
      <c r="DV213" s="89"/>
      <c r="DW213" s="89"/>
      <c r="DX213" s="89"/>
      <c r="DY213" s="89"/>
      <c r="DZ213" s="74"/>
      <c r="EA213" s="82"/>
    </row>
    <row r="214" ht="21.75" customHeight="1">
      <c r="A214" s="64"/>
      <c r="B214" s="70"/>
      <c r="C214" s="71"/>
      <c r="D214" s="71"/>
      <c r="E214" s="71"/>
      <c r="F214" s="81" t="s">
        <v>47</v>
      </c>
      <c r="G214" s="73"/>
      <c r="H214" s="73"/>
      <c r="I214" s="73"/>
      <c r="J214" s="73"/>
      <c r="K214" s="73"/>
      <c r="L214" s="73"/>
      <c r="M214" s="73">
        <f>N214+O214</f>
        <v>523.15985</v>
      </c>
      <c r="N214" s="73">
        <v>0.0</v>
      </c>
      <c r="O214" s="73">
        <v>523.15985</v>
      </c>
      <c r="P214" s="73"/>
      <c r="Q214" s="73"/>
      <c r="R214" s="73"/>
      <c r="S214" s="73">
        <f>T214+U214</f>
        <v>478.12272</v>
      </c>
      <c r="T214" s="73">
        <v>0.0</v>
      </c>
      <c r="U214" s="73">
        <v>478.12272</v>
      </c>
      <c r="V214" s="73"/>
      <c r="W214" s="73"/>
      <c r="X214" s="73"/>
      <c r="Y214" s="73">
        <v>262.61355</v>
      </c>
      <c r="Z214" s="73">
        <v>0.0</v>
      </c>
      <c r="AA214" s="73">
        <v>262.61355</v>
      </c>
      <c r="AB214" s="73"/>
      <c r="AC214" s="73"/>
      <c r="AD214" s="73"/>
      <c r="AE214" s="73">
        <f t="shared" ref="AE214:AG214" si="1103">M214+S214+Y214</f>
        <v>1263.89612</v>
      </c>
      <c r="AF214" s="73">
        <f t="shared" si="1103"/>
        <v>0</v>
      </c>
      <c r="AG214" s="73">
        <f t="shared" si="1103"/>
        <v>1263.89612</v>
      </c>
      <c r="AH214" s="88"/>
      <c r="AI214" s="88"/>
      <c r="AJ214" s="88"/>
      <c r="AK214" s="73">
        <v>432.57354</v>
      </c>
      <c r="AL214" s="73">
        <v>0.0</v>
      </c>
      <c r="AM214" s="73">
        <v>432.57354</v>
      </c>
      <c r="AN214" s="73"/>
      <c r="AO214" s="73"/>
      <c r="AP214" s="73"/>
      <c r="AQ214" s="73">
        <f t="shared" ref="AQ214:AS214" si="1104">AE214+AK214</f>
        <v>1696.46966</v>
      </c>
      <c r="AR214" s="73">
        <f t="shared" si="1104"/>
        <v>0</v>
      </c>
      <c r="AS214" s="73">
        <f t="shared" si="1104"/>
        <v>1696.46966</v>
      </c>
      <c r="AT214" s="73"/>
      <c r="AU214" s="73"/>
      <c r="AV214" s="73"/>
      <c r="AW214" s="73">
        <f>141.82158+225.5101</f>
        <v>367.33168</v>
      </c>
      <c r="AX214" s="73">
        <v>0.0</v>
      </c>
      <c r="AY214" s="73">
        <f>141.82158+225.5101</f>
        <v>367.33168</v>
      </c>
      <c r="AZ214" s="73"/>
      <c r="BA214" s="73"/>
      <c r="BB214" s="73"/>
      <c r="BC214" s="73">
        <f t="shared" ref="BC214:BE214" si="1105">AQ214+AW214</f>
        <v>2063.80134</v>
      </c>
      <c r="BD214" s="73">
        <f t="shared" si="1105"/>
        <v>0</v>
      </c>
      <c r="BE214" s="73">
        <f t="shared" si="1105"/>
        <v>2063.80134</v>
      </c>
      <c r="BF214" s="88"/>
      <c r="BG214" s="88"/>
      <c r="BH214" s="88"/>
      <c r="BI214" s="88"/>
      <c r="BJ214" s="88"/>
      <c r="BK214" s="88"/>
      <c r="BL214" s="88"/>
      <c r="BM214" s="88"/>
      <c r="BN214" s="88"/>
      <c r="BO214" s="88"/>
      <c r="BP214" s="88"/>
      <c r="BQ214" s="88"/>
      <c r="BR214" s="88"/>
      <c r="BS214" s="88"/>
      <c r="BT214" s="88"/>
      <c r="BU214" s="88"/>
      <c r="BV214" s="88"/>
      <c r="BW214" s="88"/>
      <c r="BX214" s="88"/>
      <c r="BY214" s="88"/>
      <c r="BZ214" s="88"/>
      <c r="CA214" s="88"/>
      <c r="CB214" s="88"/>
      <c r="CC214" s="88"/>
      <c r="CD214" s="88"/>
      <c r="CE214" s="88"/>
      <c r="CF214" s="88"/>
      <c r="CG214" s="88"/>
      <c r="CH214" s="88"/>
      <c r="CI214" s="88"/>
      <c r="CJ214" s="88"/>
      <c r="CK214" s="88"/>
      <c r="CL214" s="88"/>
      <c r="CM214" s="88"/>
      <c r="CN214" s="88"/>
      <c r="CO214" s="88"/>
      <c r="CP214" s="88"/>
      <c r="CQ214" s="88"/>
      <c r="CR214" s="88"/>
      <c r="CS214" s="88"/>
      <c r="CT214" s="88"/>
      <c r="CU214" s="88"/>
      <c r="CV214" s="88"/>
      <c r="CW214" s="88"/>
      <c r="CX214" s="88"/>
      <c r="CY214" s="88"/>
      <c r="CZ214" s="88"/>
      <c r="DA214" s="88"/>
      <c r="DB214" s="88"/>
      <c r="DC214" s="88"/>
      <c r="DD214" s="88"/>
      <c r="DE214" s="88"/>
      <c r="DF214" s="88"/>
      <c r="DG214" s="88"/>
      <c r="DH214" s="88"/>
      <c r="DI214" s="88"/>
      <c r="DJ214" s="88"/>
      <c r="DK214" s="88"/>
      <c r="DL214" s="88"/>
      <c r="DM214" s="88"/>
      <c r="DN214" s="88"/>
      <c r="DO214" s="88"/>
      <c r="DP214" s="88"/>
      <c r="DQ214" s="88"/>
      <c r="DR214" s="88"/>
      <c r="DS214" s="88"/>
      <c r="DT214" s="88"/>
      <c r="DU214" s="89"/>
      <c r="DV214" s="89"/>
      <c r="DW214" s="89"/>
      <c r="DX214" s="89"/>
      <c r="DY214" s="89"/>
      <c r="DZ214" s="74"/>
      <c r="EA214" s="82" t="s">
        <v>164</v>
      </c>
    </row>
    <row r="215" ht="21.75" customHeight="1">
      <c r="A215" s="64"/>
      <c r="B215" s="70"/>
      <c r="C215" s="71"/>
      <c r="D215" s="71"/>
      <c r="E215" s="71"/>
      <c r="F215" s="81" t="s">
        <v>50</v>
      </c>
      <c r="G215" s="73"/>
      <c r="H215" s="73"/>
      <c r="I215" s="73"/>
      <c r="J215" s="73"/>
      <c r="K215" s="73"/>
      <c r="L215" s="73"/>
      <c r="M215" s="73">
        <v>0.0</v>
      </c>
      <c r="N215" s="73">
        <v>0.0</v>
      </c>
      <c r="O215" s="73">
        <v>0.0</v>
      </c>
      <c r="P215" s="73"/>
      <c r="Q215" s="73"/>
      <c r="R215" s="73"/>
      <c r="S215" s="73">
        <v>0.0</v>
      </c>
      <c r="T215" s="73">
        <v>0.0</v>
      </c>
      <c r="U215" s="73">
        <v>0.0</v>
      </c>
      <c r="V215" s="73"/>
      <c r="W215" s="73"/>
      <c r="X215" s="73"/>
      <c r="Y215" s="73">
        <v>-1.6135499999999752</v>
      </c>
      <c r="Z215" s="73">
        <v>0.0</v>
      </c>
      <c r="AA215" s="73">
        <v>-1.6135499999999752</v>
      </c>
      <c r="AB215" s="73"/>
      <c r="AC215" s="73"/>
      <c r="AD215" s="73"/>
      <c r="AE215" s="73">
        <f t="shared" ref="AE215:AG215" si="1106">M215+S215+Y215</f>
        <v>-1.61355</v>
      </c>
      <c r="AF215" s="73">
        <f t="shared" si="1106"/>
        <v>0</v>
      </c>
      <c r="AG215" s="73">
        <f t="shared" si="1106"/>
        <v>-1.61355</v>
      </c>
      <c r="AH215" s="88"/>
      <c r="AI215" s="88"/>
      <c r="AJ215" s="88"/>
      <c r="AK215" s="73">
        <v>-3.178200000000004</v>
      </c>
      <c r="AL215" s="73">
        <v>0.0</v>
      </c>
      <c r="AM215" s="73">
        <v>-3.178200000000004</v>
      </c>
      <c r="AN215" s="73"/>
      <c r="AO215" s="73"/>
      <c r="AP215" s="73"/>
      <c r="AQ215" s="73">
        <f t="shared" ref="AQ215:AS215" si="1107">AE215+AK215</f>
        <v>-4.79175</v>
      </c>
      <c r="AR215" s="73">
        <f t="shared" si="1107"/>
        <v>0</v>
      </c>
      <c r="AS215" s="73">
        <f t="shared" si="1107"/>
        <v>-4.79175</v>
      </c>
      <c r="AT215" s="73"/>
      <c r="AU215" s="73"/>
      <c r="AV215" s="73"/>
      <c r="AW215" s="73"/>
      <c r="AX215" s="73"/>
      <c r="AY215" s="73"/>
      <c r="AZ215" s="73"/>
      <c r="BA215" s="73"/>
      <c r="BB215" s="73"/>
      <c r="BC215" s="73">
        <f t="shared" ref="BC215:BE215" si="1108">AQ215+AW215</f>
        <v>-4.79175</v>
      </c>
      <c r="BD215" s="73">
        <f t="shared" si="1108"/>
        <v>0</v>
      </c>
      <c r="BE215" s="73">
        <f t="shared" si="1108"/>
        <v>-4.79175</v>
      </c>
      <c r="BF215" s="88"/>
      <c r="BG215" s="88"/>
      <c r="BH215" s="88"/>
      <c r="BI215" s="88"/>
      <c r="BJ215" s="88"/>
      <c r="BK215" s="88"/>
      <c r="BL215" s="88"/>
      <c r="BM215" s="88"/>
      <c r="BN215" s="88"/>
      <c r="BO215" s="88"/>
      <c r="BP215" s="88"/>
      <c r="BQ215" s="88"/>
      <c r="BR215" s="88"/>
      <c r="BS215" s="88"/>
      <c r="BT215" s="88"/>
      <c r="BU215" s="88"/>
      <c r="BV215" s="88"/>
      <c r="BW215" s="88"/>
      <c r="BX215" s="88"/>
      <c r="BY215" s="88"/>
      <c r="BZ215" s="88"/>
      <c r="CA215" s="88"/>
      <c r="CB215" s="88"/>
      <c r="CC215" s="88"/>
      <c r="CD215" s="88"/>
      <c r="CE215" s="88"/>
      <c r="CF215" s="88"/>
      <c r="CG215" s="88"/>
      <c r="CH215" s="88"/>
      <c r="CI215" s="88"/>
      <c r="CJ215" s="88"/>
      <c r="CK215" s="88"/>
      <c r="CL215" s="88"/>
      <c r="CM215" s="88"/>
      <c r="CN215" s="88"/>
      <c r="CO215" s="88"/>
      <c r="CP215" s="88"/>
      <c r="CQ215" s="88"/>
      <c r="CR215" s="88"/>
      <c r="CS215" s="88"/>
      <c r="CT215" s="88"/>
      <c r="CU215" s="88"/>
      <c r="CV215" s="88"/>
      <c r="CW215" s="88"/>
      <c r="CX215" s="88"/>
      <c r="CY215" s="88"/>
      <c r="CZ215" s="88"/>
      <c r="DA215" s="88"/>
      <c r="DB215" s="88"/>
      <c r="DC215" s="88"/>
      <c r="DD215" s="88"/>
      <c r="DE215" s="88"/>
      <c r="DF215" s="88"/>
      <c r="DG215" s="88"/>
      <c r="DH215" s="88"/>
      <c r="DI215" s="88"/>
      <c r="DJ215" s="88"/>
      <c r="DK215" s="88"/>
      <c r="DL215" s="88"/>
      <c r="DM215" s="88"/>
      <c r="DN215" s="88"/>
      <c r="DO215" s="88"/>
      <c r="DP215" s="88"/>
      <c r="DQ215" s="88"/>
      <c r="DR215" s="88"/>
      <c r="DS215" s="88"/>
      <c r="DT215" s="88"/>
      <c r="DU215" s="89"/>
      <c r="DV215" s="89"/>
      <c r="DW215" s="89"/>
      <c r="DX215" s="89"/>
      <c r="DY215" s="89"/>
      <c r="DZ215" s="74"/>
      <c r="EA215" s="82"/>
    </row>
    <row r="216" ht="21.75" customHeight="1">
      <c r="A216" s="64"/>
      <c r="B216" s="70"/>
      <c r="C216" s="71"/>
      <c r="D216" s="71"/>
      <c r="E216" s="71"/>
      <c r="F216" s="78" t="s">
        <v>51</v>
      </c>
      <c r="G216" s="73"/>
      <c r="H216" s="73"/>
      <c r="I216" s="73"/>
      <c r="J216" s="73"/>
      <c r="K216" s="73"/>
      <c r="L216" s="73"/>
      <c r="M216" s="79">
        <f t="shared" ref="M216:O216" si="1109">M217+M218</f>
        <v>0</v>
      </c>
      <c r="N216" s="79">
        <f t="shared" si="1109"/>
        <v>0</v>
      </c>
      <c r="O216" s="79">
        <f t="shared" si="1109"/>
        <v>0</v>
      </c>
      <c r="P216" s="73"/>
      <c r="Q216" s="73"/>
      <c r="R216" s="73"/>
      <c r="S216" s="79">
        <f t="shared" ref="S216:U216" si="1110">S217+S218</f>
        <v>0</v>
      </c>
      <c r="T216" s="79">
        <f t="shared" si="1110"/>
        <v>0</v>
      </c>
      <c r="U216" s="79">
        <f t="shared" si="1110"/>
        <v>0</v>
      </c>
      <c r="V216" s="73"/>
      <c r="W216" s="73"/>
      <c r="X216" s="73"/>
      <c r="Y216" s="79">
        <f t="shared" ref="Y216:AA216" si="1111">Y217+Y218</f>
        <v>0</v>
      </c>
      <c r="Z216" s="79">
        <f t="shared" si="1111"/>
        <v>0</v>
      </c>
      <c r="AA216" s="79">
        <f t="shared" si="1111"/>
        <v>0</v>
      </c>
      <c r="AB216" s="73"/>
      <c r="AC216" s="73"/>
      <c r="AD216" s="73"/>
      <c r="AE216" s="79">
        <f t="shared" ref="AE216:AG216" si="1112">M216+S216+Y216</f>
        <v>0</v>
      </c>
      <c r="AF216" s="79">
        <f t="shared" si="1112"/>
        <v>0</v>
      </c>
      <c r="AG216" s="79">
        <f t="shared" si="1112"/>
        <v>0</v>
      </c>
      <c r="AH216" s="88"/>
      <c r="AI216" s="88"/>
      <c r="AJ216" s="88"/>
      <c r="AK216" s="79">
        <f t="shared" ref="AK216:AM216" si="1113">AK217+AK218</f>
        <v>0</v>
      </c>
      <c r="AL216" s="79">
        <f t="shared" si="1113"/>
        <v>0</v>
      </c>
      <c r="AM216" s="79">
        <f t="shared" si="1113"/>
        <v>0</v>
      </c>
      <c r="AN216" s="73"/>
      <c r="AO216" s="73"/>
      <c r="AP216" s="73"/>
      <c r="AQ216" s="79">
        <f t="shared" ref="AQ216:AS216" si="1114">AE216+AK216</f>
        <v>0</v>
      </c>
      <c r="AR216" s="79">
        <f t="shared" si="1114"/>
        <v>0</v>
      </c>
      <c r="AS216" s="79">
        <f t="shared" si="1114"/>
        <v>0</v>
      </c>
      <c r="AT216" s="73"/>
      <c r="AU216" s="73"/>
      <c r="AV216" s="73"/>
      <c r="AW216" s="79">
        <f t="shared" ref="AW216:AY216" si="1115">AW217+AW218</f>
        <v>0</v>
      </c>
      <c r="AX216" s="79">
        <f t="shared" si="1115"/>
        <v>0</v>
      </c>
      <c r="AY216" s="79">
        <f t="shared" si="1115"/>
        <v>0</v>
      </c>
      <c r="AZ216" s="73"/>
      <c r="BA216" s="73"/>
      <c r="BB216" s="73"/>
      <c r="BC216" s="79">
        <f t="shared" ref="BC216:BE216" si="1116">AQ216+AW216</f>
        <v>0</v>
      </c>
      <c r="BD216" s="79">
        <f t="shared" si="1116"/>
        <v>0</v>
      </c>
      <c r="BE216" s="79">
        <f t="shared" si="1116"/>
        <v>0</v>
      </c>
      <c r="BF216" s="88"/>
      <c r="BG216" s="88"/>
      <c r="BH216" s="88"/>
      <c r="BI216" s="88"/>
      <c r="BJ216" s="88"/>
      <c r="BK216" s="88"/>
      <c r="BL216" s="88"/>
      <c r="BM216" s="88"/>
      <c r="BN216" s="88"/>
      <c r="BO216" s="88"/>
      <c r="BP216" s="88"/>
      <c r="BQ216" s="88"/>
      <c r="BR216" s="88"/>
      <c r="BS216" s="88"/>
      <c r="BT216" s="88"/>
      <c r="BU216" s="88"/>
      <c r="BV216" s="88"/>
      <c r="BW216" s="88"/>
      <c r="BX216" s="88"/>
      <c r="BY216" s="88"/>
      <c r="BZ216" s="88"/>
      <c r="CA216" s="88"/>
      <c r="CB216" s="88"/>
      <c r="CC216" s="88"/>
      <c r="CD216" s="88"/>
      <c r="CE216" s="88"/>
      <c r="CF216" s="88"/>
      <c r="CG216" s="88"/>
      <c r="CH216" s="88"/>
      <c r="CI216" s="88"/>
      <c r="CJ216" s="88"/>
      <c r="CK216" s="88"/>
      <c r="CL216" s="88"/>
      <c r="CM216" s="88"/>
      <c r="CN216" s="88"/>
      <c r="CO216" s="88"/>
      <c r="CP216" s="88"/>
      <c r="CQ216" s="88"/>
      <c r="CR216" s="88"/>
      <c r="CS216" s="88"/>
      <c r="CT216" s="88"/>
      <c r="CU216" s="88"/>
      <c r="CV216" s="88"/>
      <c r="CW216" s="88"/>
      <c r="CX216" s="88"/>
      <c r="CY216" s="88"/>
      <c r="CZ216" s="88"/>
      <c r="DA216" s="88"/>
      <c r="DB216" s="88"/>
      <c r="DC216" s="88"/>
      <c r="DD216" s="88"/>
      <c r="DE216" s="88"/>
      <c r="DF216" s="88"/>
      <c r="DG216" s="88"/>
      <c r="DH216" s="88"/>
      <c r="DI216" s="88"/>
      <c r="DJ216" s="88"/>
      <c r="DK216" s="88"/>
      <c r="DL216" s="88"/>
      <c r="DM216" s="88"/>
      <c r="DN216" s="88"/>
      <c r="DO216" s="88"/>
      <c r="DP216" s="88"/>
      <c r="DQ216" s="88"/>
      <c r="DR216" s="88"/>
      <c r="DS216" s="88"/>
      <c r="DT216" s="88"/>
      <c r="DU216" s="89"/>
      <c r="DV216" s="89"/>
      <c r="DW216" s="89"/>
      <c r="DX216" s="89"/>
      <c r="DY216" s="89"/>
      <c r="DZ216" s="74"/>
      <c r="EA216" s="76"/>
    </row>
    <row r="217" ht="21.75" customHeight="1">
      <c r="A217" s="64"/>
      <c r="B217" s="70"/>
      <c r="C217" s="71"/>
      <c r="D217" s="71"/>
      <c r="E217" s="71"/>
      <c r="F217" s="81" t="s">
        <v>47</v>
      </c>
      <c r="G217" s="73"/>
      <c r="H217" s="73"/>
      <c r="I217" s="73"/>
      <c r="J217" s="73"/>
      <c r="K217" s="73"/>
      <c r="L217" s="73"/>
      <c r="M217" s="73">
        <v>0.0</v>
      </c>
      <c r="N217" s="73">
        <v>0.0</v>
      </c>
      <c r="O217" s="73">
        <v>0.0</v>
      </c>
      <c r="P217" s="73"/>
      <c r="Q217" s="73"/>
      <c r="R217" s="73"/>
      <c r="S217" s="73">
        <v>0.0</v>
      </c>
      <c r="T217" s="73">
        <v>0.0</v>
      </c>
      <c r="U217" s="73">
        <v>0.0</v>
      </c>
      <c r="V217" s="73"/>
      <c r="W217" s="73"/>
      <c r="X217" s="73"/>
      <c r="Y217" s="73">
        <v>0.0</v>
      </c>
      <c r="Z217" s="73">
        <v>0.0</v>
      </c>
      <c r="AA217" s="73">
        <v>0.0</v>
      </c>
      <c r="AB217" s="73"/>
      <c r="AC217" s="73"/>
      <c r="AD217" s="73"/>
      <c r="AE217" s="73">
        <f t="shared" ref="AE217:AG217" si="1117">M217+S217+Y217</f>
        <v>0</v>
      </c>
      <c r="AF217" s="73">
        <f t="shared" si="1117"/>
        <v>0</v>
      </c>
      <c r="AG217" s="73">
        <f t="shared" si="1117"/>
        <v>0</v>
      </c>
      <c r="AH217" s="88"/>
      <c r="AI217" s="88"/>
      <c r="AJ217" s="88"/>
      <c r="AK217" s="73">
        <v>0.0</v>
      </c>
      <c r="AL217" s="73">
        <v>0.0</v>
      </c>
      <c r="AM217" s="73">
        <v>0.0</v>
      </c>
      <c r="AN217" s="73"/>
      <c r="AO217" s="73"/>
      <c r="AP217" s="73"/>
      <c r="AQ217" s="73">
        <f t="shared" ref="AQ217:AS217" si="1118">AE217+AK217</f>
        <v>0</v>
      </c>
      <c r="AR217" s="73">
        <f t="shared" si="1118"/>
        <v>0</v>
      </c>
      <c r="AS217" s="73">
        <f t="shared" si="1118"/>
        <v>0</v>
      </c>
      <c r="AT217" s="73"/>
      <c r="AU217" s="73"/>
      <c r="AV217" s="73"/>
      <c r="AW217" s="73">
        <v>0.0</v>
      </c>
      <c r="AX217" s="73">
        <v>0.0</v>
      </c>
      <c r="AY217" s="73">
        <v>0.0</v>
      </c>
      <c r="AZ217" s="73"/>
      <c r="BA217" s="73"/>
      <c r="BB217" s="73"/>
      <c r="BC217" s="73">
        <f t="shared" ref="BC217:BE217" si="1119">AQ217+AW217</f>
        <v>0</v>
      </c>
      <c r="BD217" s="73">
        <f t="shared" si="1119"/>
        <v>0</v>
      </c>
      <c r="BE217" s="73">
        <f t="shared" si="1119"/>
        <v>0</v>
      </c>
      <c r="BF217" s="88"/>
      <c r="BG217" s="88"/>
      <c r="BH217" s="88"/>
      <c r="BI217" s="88"/>
      <c r="BJ217" s="88"/>
      <c r="BK217" s="88"/>
      <c r="BL217" s="88"/>
      <c r="BM217" s="88"/>
      <c r="BN217" s="88"/>
      <c r="BO217" s="88"/>
      <c r="BP217" s="88"/>
      <c r="BQ217" s="88"/>
      <c r="BR217" s="88"/>
      <c r="BS217" s="88"/>
      <c r="BT217" s="88"/>
      <c r="BU217" s="88"/>
      <c r="BV217" s="88"/>
      <c r="BW217" s="88"/>
      <c r="BX217" s="88"/>
      <c r="BY217" s="88"/>
      <c r="BZ217" s="88"/>
      <c r="CA217" s="88"/>
      <c r="CB217" s="88"/>
      <c r="CC217" s="88"/>
      <c r="CD217" s="88"/>
      <c r="CE217" s="88"/>
      <c r="CF217" s="88"/>
      <c r="CG217" s="88"/>
      <c r="CH217" s="88"/>
      <c r="CI217" s="88"/>
      <c r="CJ217" s="88"/>
      <c r="CK217" s="88"/>
      <c r="CL217" s="88"/>
      <c r="CM217" s="88"/>
      <c r="CN217" s="88"/>
      <c r="CO217" s="88"/>
      <c r="CP217" s="88"/>
      <c r="CQ217" s="88"/>
      <c r="CR217" s="88"/>
      <c r="CS217" s="88"/>
      <c r="CT217" s="88"/>
      <c r="CU217" s="88"/>
      <c r="CV217" s="88"/>
      <c r="CW217" s="88"/>
      <c r="CX217" s="88"/>
      <c r="CY217" s="88"/>
      <c r="CZ217" s="88"/>
      <c r="DA217" s="88"/>
      <c r="DB217" s="88"/>
      <c r="DC217" s="88"/>
      <c r="DD217" s="88"/>
      <c r="DE217" s="88"/>
      <c r="DF217" s="88"/>
      <c r="DG217" s="88"/>
      <c r="DH217" s="88"/>
      <c r="DI217" s="88"/>
      <c r="DJ217" s="88"/>
      <c r="DK217" s="88"/>
      <c r="DL217" s="88"/>
      <c r="DM217" s="88"/>
      <c r="DN217" s="88"/>
      <c r="DO217" s="88"/>
      <c r="DP217" s="88"/>
      <c r="DQ217" s="88"/>
      <c r="DR217" s="88"/>
      <c r="DS217" s="88"/>
      <c r="DT217" s="88"/>
      <c r="DU217" s="89"/>
      <c r="DV217" s="89"/>
      <c r="DW217" s="89"/>
      <c r="DX217" s="89"/>
      <c r="DY217" s="89"/>
      <c r="DZ217" s="74"/>
      <c r="EA217" s="76"/>
    </row>
    <row r="218" ht="21.75" customHeight="1">
      <c r="A218" s="64"/>
      <c r="B218" s="70"/>
      <c r="C218" s="71"/>
      <c r="D218" s="71"/>
      <c r="E218" s="71"/>
      <c r="F218" s="81" t="s">
        <v>52</v>
      </c>
      <c r="G218" s="73"/>
      <c r="H218" s="73"/>
      <c r="I218" s="73"/>
      <c r="J218" s="73"/>
      <c r="K218" s="73"/>
      <c r="L218" s="73"/>
      <c r="M218" s="73">
        <v>0.0</v>
      </c>
      <c r="N218" s="73">
        <v>0.0</v>
      </c>
      <c r="O218" s="73">
        <v>0.0</v>
      </c>
      <c r="P218" s="73"/>
      <c r="Q218" s="73"/>
      <c r="R218" s="73"/>
      <c r="S218" s="73">
        <v>0.0</v>
      </c>
      <c r="T218" s="73">
        <v>0.0</v>
      </c>
      <c r="U218" s="73">
        <v>0.0</v>
      </c>
      <c r="V218" s="73"/>
      <c r="W218" s="73"/>
      <c r="X218" s="73"/>
      <c r="Y218" s="73">
        <v>0.0</v>
      </c>
      <c r="Z218" s="73">
        <v>0.0</v>
      </c>
      <c r="AA218" s="73">
        <v>0.0</v>
      </c>
      <c r="AB218" s="73"/>
      <c r="AC218" s="73"/>
      <c r="AD218" s="73"/>
      <c r="AE218" s="73">
        <f t="shared" ref="AE218:AG218" si="1120">M218+S218+Y218</f>
        <v>0</v>
      </c>
      <c r="AF218" s="73">
        <f t="shared" si="1120"/>
        <v>0</v>
      </c>
      <c r="AG218" s="73">
        <f t="shared" si="1120"/>
        <v>0</v>
      </c>
      <c r="AH218" s="73"/>
      <c r="AI218" s="73"/>
      <c r="AJ218" s="73"/>
      <c r="AK218" s="73">
        <v>0.0</v>
      </c>
      <c r="AL218" s="73">
        <v>0.0</v>
      </c>
      <c r="AM218" s="73">
        <v>0.0</v>
      </c>
      <c r="AN218" s="73"/>
      <c r="AO218" s="73"/>
      <c r="AP218" s="73"/>
      <c r="AQ218" s="73">
        <f t="shared" ref="AQ218:AS218" si="1121">AE218+AK218</f>
        <v>0</v>
      </c>
      <c r="AR218" s="73">
        <f t="shared" si="1121"/>
        <v>0</v>
      </c>
      <c r="AS218" s="73">
        <f t="shared" si="1121"/>
        <v>0</v>
      </c>
      <c r="AT218" s="73"/>
      <c r="AU218" s="73"/>
      <c r="AV218" s="73"/>
      <c r="AW218" s="73">
        <v>0.0</v>
      </c>
      <c r="AX218" s="73">
        <v>0.0</v>
      </c>
      <c r="AY218" s="73">
        <v>0.0</v>
      </c>
      <c r="AZ218" s="73"/>
      <c r="BA218" s="73"/>
      <c r="BB218" s="73"/>
      <c r="BC218" s="73">
        <f t="shared" ref="BC218:BE218" si="1122">AQ218+AW218</f>
        <v>0</v>
      </c>
      <c r="BD218" s="73">
        <f t="shared" si="1122"/>
        <v>0</v>
      </c>
      <c r="BE218" s="73">
        <f t="shared" si="1122"/>
        <v>0</v>
      </c>
      <c r="BF218" s="73"/>
      <c r="BG218" s="73"/>
      <c r="BH218" s="73"/>
      <c r="BI218" s="73"/>
      <c r="BJ218" s="73"/>
      <c r="BK218" s="73"/>
      <c r="BL218" s="73"/>
      <c r="BM218" s="73"/>
      <c r="BN218" s="73"/>
      <c r="BO218" s="73"/>
      <c r="BP218" s="73"/>
      <c r="BQ218" s="73"/>
      <c r="BR218" s="73"/>
      <c r="BS218" s="73"/>
      <c r="BT218" s="73"/>
      <c r="BU218" s="73"/>
      <c r="BV218" s="73"/>
      <c r="BW218" s="73"/>
      <c r="BX218" s="73"/>
      <c r="BY218" s="73"/>
      <c r="BZ218" s="73"/>
      <c r="CA218" s="73"/>
      <c r="CB218" s="73"/>
      <c r="CC218" s="73"/>
      <c r="CD218" s="73"/>
      <c r="CE218" s="73"/>
      <c r="CF218" s="73"/>
      <c r="CG218" s="73"/>
      <c r="CH218" s="73"/>
      <c r="CI218" s="73"/>
      <c r="CJ218" s="73"/>
      <c r="CK218" s="73"/>
      <c r="CL218" s="73"/>
      <c r="CM218" s="73"/>
      <c r="CN218" s="73"/>
      <c r="CO218" s="73"/>
      <c r="CP218" s="73"/>
      <c r="CQ218" s="73"/>
      <c r="CR218" s="73"/>
      <c r="CS218" s="73"/>
      <c r="CT218" s="73"/>
      <c r="CU218" s="73"/>
      <c r="CV218" s="73"/>
      <c r="CW218" s="73"/>
      <c r="CX218" s="73"/>
      <c r="CY218" s="73"/>
      <c r="CZ218" s="73"/>
      <c r="DA218" s="73"/>
      <c r="DB218" s="73"/>
      <c r="DC218" s="73"/>
      <c r="DD218" s="73"/>
      <c r="DE218" s="73"/>
      <c r="DF218" s="73"/>
      <c r="DG218" s="73"/>
      <c r="DH218" s="73"/>
      <c r="DI218" s="73"/>
      <c r="DJ218" s="73"/>
      <c r="DK218" s="73"/>
      <c r="DL218" s="73"/>
      <c r="DM218" s="73"/>
      <c r="DN218" s="73"/>
      <c r="DO218" s="73"/>
      <c r="DP218" s="73"/>
      <c r="DQ218" s="73"/>
      <c r="DR218" s="73"/>
      <c r="DS218" s="73"/>
      <c r="DT218" s="73"/>
      <c r="DU218" s="74"/>
      <c r="DV218" s="74"/>
      <c r="DW218" s="72"/>
      <c r="DX218" s="72"/>
      <c r="DY218" s="72"/>
      <c r="DZ218" s="75"/>
      <c r="EA218" s="84"/>
    </row>
    <row r="219" ht="21.75" customHeight="1">
      <c r="A219" s="64"/>
      <c r="B219" s="92"/>
      <c r="C219" s="72"/>
      <c r="D219" s="71"/>
      <c r="E219" s="71"/>
      <c r="F219" s="78" t="s">
        <v>53</v>
      </c>
      <c r="G219" s="73"/>
      <c r="H219" s="73"/>
      <c r="I219" s="73"/>
      <c r="J219" s="73"/>
      <c r="K219" s="73"/>
      <c r="L219" s="73"/>
      <c r="M219" s="79">
        <f t="shared" ref="M219:M220" si="1126">N219+O219</f>
        <v>0</v>
      </c>
      <c r="N219" s="79">
        <v>0.0</v>
      </c>
      <c r="O219" s="79">
        <v>0.0</v>
      </c>
      <c r="P219" s="79"/>
      <c r="Q219" s="79"/>
      <c r="R219" s="79"/>
      <c r="S219" s="79">
        <f t="shared" ref="S219:S220" si="1127">T219+U219</f>
        <v>0</v>
      </c>
      <c r="T219" s="79">
        <v>0.0</v>
      </c>
      <c r="U219" s="79">
        <v>0.0</v>
      </c>
      <c r="V219" s="79"/>
      <c r="W219" s="79"/>
      <c r="X219" s="79"/>
      <c r="Y219" s="79">
        <f t="shared" ref="Y219:Y220" si="1128">Z219+AA219</f>
        <v>84009</v>
      </c>
      <c r="Z219" s="79">
        <v>0.0</v>
      </c>
      <c r="AA219" s="79">
        <v>84009.0</v>
      </c>
      <c r="AB219" s="79"/>
      <c r="AC219" s="79"/>
      <c r="AD219" s="79"/>
      <c r="AE219" s="79">
        <f t="shared" ref="AE219:AG219" si="1123">M219+S219+Y219</f>
        <v>84009</v>
      </c>
      <c r="AF219" s="79">
        <f t="shared" si="1123"/>
        <v>0</v>
      </c>
      <c r="AG219" s="79">
        <f t="shared" si="1123"/>
        <v>84009</v>
      </c>
      <c r="AH219" s="73"/>
      <c r="AI219" s="73"/>
      <c r="AJ219" s="73"/>
      <c r="AK219" s="79">
        <f t="shared" ref="AK219:AK220" si="1130">AL219+AM219</f>
        <v>46621.43515</v>
      </c>
      <c r="AL219" s="79">
        <v>0.0</v>
      </c>
      <c r="AM219" s="79">
        <v>46621.43515</v>
      </c>
      <c r="AN219" s="73"/>
      <c r="AO219" s="73"/>
      <c r="AP219" s="73"/>
      <c r="AQ219" s="79">
        <f t="shared" ref="AQ219:AS219" si="1124">AE219+AK219</f>
        <v>130630.4352</v>
      </c>
      <c r="AR219" s="79">
        <f t="shared" si="1124"/>
        <v>0</v>
      </c>
      <c r="AS219" s="79">
        <f t="shared" si="1124"/>
        <v>130630.4352</v>
      </c>
      <c r="AT219" s="73"/>
      <c r="AU219" s="73"/>
      <c r="AV219" s="73"/>
      <c r="AW219" s="79">
        <v>0.0</v>
      </c>
      <c r="AX219" s="79">
        <v>0.0</v>
      </c>
      <c r="AY219" s="79">
        <v>0.0</v>
      </c>
      <c r="AZ219" s="73"/>
      <c r="BA219" s="73"/>
      <c r="BB219" s="73"/>
      <c r="BC219" s="79">
        <f t="shared" ref="BC219:BE219" si="1125">AQ219+AW219</f>
        <v>130630.4352</v>
      </c>
      <c r="BD219" s="79">
        <f t="shared" si="1125"/>
        <v>0</v>
      </c>
      <c r="BE219" s="79">
        <f t="shared" si="1125"/>
        <v>130630.4352</v>
      </c>
      <c r="BF219" s="73"/>
      <c r="BG219" s="73"/>
      <c r="BH219" s="73"/>
      <c r="BI219" s="73"/>
      <c r="BJ219" s="73"/>
      <c r="BK219" s="73"/>
      <c r="BL219" s="73"/>
      <c r="BM219" s="73"/>
      <c r="BN219" s="73"/>
      <c r="BO219" s="73"/>
      <c r="BP219" s="73"/>
      <c r="BQ219" s="73"/>
      <c r="BR219" s="73"/>
      <c r="BS219" s="73"/>
      <c r="BT219" s="73"/>
      <c r="BU219" s="73"/>
      <c r="BV219" s="73"/>
      <c r="BW219" s="73"/>
      <c r="BX219" s="73"/>
      <c r="BY219" s="73"/>
      <c r="BZ219" s="73"/>
      <c r="CA219" s="73"/>
      <c r="CB219" s="73"/>
      <c r="CC219" s="73"/>
      <c r="CD219" s="73"/>
      <c r="CE219" s="73"/>
      <c r="CF219" s="73"/>
      <c r="CG219" s="73"/>
      <c r="CH219" s="73"/>
      <c r="CI219" s="73"/>
      <c r="CJ219" s="73"/>
      <c r="CK219" s="73"/>
      <c r="CL219" s="73"/>
      <c r="CM219" s="73"/>
      <c r="CN219" s="73"/>
      <c r="CO219" s="73"/>
      <c r="CP219" s="73"/>
      <c r="CQ219" s="73"/>
      <c r="CR219" s="73"/>
      <c r="CS219" s="73"/>
      <c r="CT219" s="73"/>
      <c r="CU219" s="73"/>
      <c r="CV219" s="73"/>
      <c r="CW219" s="73"/>
      <c r="CX219" s="73"/>
      <c r="CY219" s="73"/>
      <c r="CZ219" s="73"/>
      <c r="DA219" s="73"/>
      <c r="DB219" s="73"/>
      <c r="DC219" s="73"/>
      <c r="DD219" s="73"/>
      <c r="DE219" s="73"/>
      <c r="DF219" s="73"/>
      <c r="DG219" s="73"/>
      <c r="DH219" s="73"/>
      <c r="DI219" s="73"/>
      <c r="DJ219" s="73"/>
      <c r="DK219" s="73"/>
      <c r="DL219" s="73"/>
      <c r="DM219" s="73"/>
      <c r="DN219" s="73"/>
      <c r="DO219" s="73"/>
      <c r="DP219" s="73"/>
      <c r="DQ219" s="73"/>
      <c r="DR219" s="73"/>
      <c r="DS219" s="73"/>
      <c r="DT219" s="73"/>
      <c r="DU219" s="74"/>
      <c r="DV219" s="74"/>
      <c r="DW219" s="72"/>
      <c r="DX219" s="72"/>
      <c r="DY219" s="72"/>
      <c r="DZ219" s="75"/>
      <c r="EA219" s="76" t="s">
        <v>165</v>
      </c>
    </row>
    <row r="220" ht="21.75" customHeight="1">
      <c r="A220" s="64"/>
      <c r="B220" s="92"/>
      <c r="C220" s="72"/>
      <c r="D220" s="71"/>
      <c r="E220" s="71"/>
      <c r="F220" s="78" t="s">
        <v>55</v>
      </c>
      <c r="G220" s="73"/>
      <c r="H220" s="73"/>
      <c r="I220" s="73"/>
      <c r="J220" s="73"/>
      <c r="K220" s="73"/>
      <c r="L220" s="73"/>
      <c r="M220" s="79">
        <f t="shared" si="1126"/>
        <v>0</v>
      </c>
      <c r="N220" s="79">
        <v>0.0</v>
      </c>
      <c r="O220" s="79">
        <v>0.0</v>
      </c>
      <c r="P220" s="79"/>
      <c r="Q220" s="79"/>
      <c r="R220" s="79"/>
      <c r="S220" s="79">
        <f t="shared" si="1127"/>
        <v>0</v>
      </c>
      <c r="T220" s="79">
        <v>0.0</v>
      </c>
      <c r="U220" s="79">
        <v>0.0</v>
      </c>
      <c r="V220" s="79"/>
      <c r="W220" s="79"/>
      <c r="X220" s="79"/>
      <c r="Y220" s="79">
        <f t="shared" si="1128"/>
        <v>0</v>
      </c>
      <c r="Z220" s="79">
        <v>0.0</v>
      </c>
      <c r="AA220" s="79">
        <v>0.0</v>
      </c>
      <c r="AB220" s="79"/>
      <c r="AC220" s="79"/>
      <c r="AD220" s="79"/>
      <c r="AE220" s="79">
        <f t="shared" ref="AE220:AG220" si="1129">M220+S220+Y220</f>
        <v>0</v>
      </c>
      <c r="AF220" s="79">
        <f t="shared" si="1129"/>
        <v>0</v>
      </c>
      <c r="AG220" s="79">
        <f t="shared" si="1129"/>
        <v>0</v>
      </c>
      <c r="AH220" s="73"/>
      <c r="AI220" s="73"/>
      <c r="AJ220" s="73"/>
      <c r="AK220" s="79">
        <f t="shared" si="1130"/>
        <v>0</v>
      </c>
      <c r="AL220" s="79">
        <v>0.0</v>
      </c>
      <c r="AM220" s="79">
        <v>0.0</v>
      </c>
      <c r="AN220" s="73"/>
      <c r="AO220" s="73"/>
      <c r="AP220" s="73"/>
      <c r="AQ220" s="79">
        <f t="shared" ref="AQ220:AS220" si="1131">AE220+AK220</f>
        <v>0</v>
      </c>
      <c r="AR220" s="79">
        <f t="shared" si="1131"/>
        <v>0</v>
      </c>
      <c r="AS220" s="79">
        <f t="shared" si="1131"/>
        <v>0</v>
      </c>
      <c r="AT220" s="73"/>
      <c r="AU220" s="73"/>
      <c r="AV220" s="73"/>
      <c r="AW220" s="79">
        <v>3135.48424</v>
      </c>
      <c r="AX220" s="79">
        <v>0.0</v>
      </c>
      <c r="AY220" s="79">
        <v>3135.48424</v>
      </c>
      <c r="AZ220" s="73"/>
      <c r="BA220" s="73"/>
      <c r="BB220" s="73"/>
      <c r="BC220" s="79">
        <f t="shared" ref="BC220:BE220" si="1132">AQ220+AW220</f>
        <v>3135.48424</v>
      </c>
      <c r="BD220" s="79">
        <f t="shared" si="1132"/>
        <v>0</v>
      </c>
      <c r="BE220" s="79">
        <f t="shared" si="1132"/>
        <v>3135.48424</v>
      </c>
      <c r="BF220" s="73"/>
      <c r="BG220" s="73"/>
      <c r="BH220" s="73"/>
      <c r="BI220" s="73"/>
      <c r="BJ220" s="73"/>
      <c r="BK220" s="73"/>
      <c r="BL220" s="73"/>
      <c r="BM220" s="73"/>
      <c r="BN220" s="73"/>
      <c r="BO220" s="73"/>
      <c r="BP220" s="73"/>
      <c r="BQ220" s="73"/>
      <c r="BR220" s="73"/>
      <c r="BS220" s="73"/>
      <c r="BT220" s="73"/>
      <c r="BU220" s="73"/>
      <c r="BV220" s="73"/>
      <c r="BW220" s="73"/>
      <c r="BX220" s="73"/>
      <c r="BY220" s="73"/>
      <c r="BZ220" s="73"/>
      <c r="CA220" s="73"/>
      <c r="CB220" s="73"/>
      <c r="CC220" s="73"/>
      <c r="CD220" s="73"/>
      <c r="CE220" s="73"/>
      <c r="CF220" s="73"/>
      <c r="CG220" s="73"/>
      <c r="CH220" s="73"/>
      <c r="CI220" s="73"/>
      <c r="CJ220" s="73"/>
      <c r="CK220" s="73"/>
      <c r="CL220" s="73"/>
      <c r="CM220" s="73"/>
      <c r="CN220" s="73"/>
      <c r="CO220" s="73"/>
      <c r="CP220" s="73"/>
      <c r="CQ220" s="73"/>
      <c r="CR220" s="73"/>
      <c r="CS220" s="73"/>
      <c r="CT220" s="73"/>
      <c r="CU220" s="73"/>
      <c r="CV220" s="73"/>
      <c r="CW220" s="73"/>
      <c r="CX220" s="73"/>
      <c r="CY220" s="73"/>
      <c r="CZ220" s="73"/>
      <c r="DA220" s="73"/>
      <c r="DB220" s="73"/>
      <c r="DC220" s="73"/>
      <c r="DD220" s="73"/>
      <c r="DE220" s="73"/>
      <c r="DF220" s="73"/>
      <c r="DG220" s="73"/>
      <c r="DH220" s="73"/>
      <c r="DI220" s="73"/>
      <c r="DJ220" s="73"/>
      <c r="DK220" s="73"/>
      <c r="DL220" s="73"/>
      <c r="DM220" s="73"/>
      <c r="DN220" s="73"/>
      <c r="DO220" s="73"/>
      <c r="DP220" s="73"/>
      <c r="DQ220" s="73"/>
      <c r="DR220" s="73"/>
      <c r="DS220" s="73"/>
      <c r="DT220" s="73"/>
      <c r="DU220" s="74"/>
      <c r="DV220" s="74"/>
      <c r="DW220" s="72"/>
      <c r="DX220" s="72"/>
      <c r="DY220" s="72"/>
      <c r="DZ220" s="75"/>
      <c r="EA220" s="76" t="s">
        <v>166</v>
      </c>
    </row>
    <row r="221" ht="21.75" customHeight="1">
      <c r="A221" s="64"/>
      <c r="B221" s="70" t="s">
        <v>40</v>
      </c>
      <c r="C221" s="71" t="s">
        <v>167</v>
      </c>
      <c r="D221" s="71" t="s">
        <v>41</v>
      </c>
      <c r="E221" s="71" t="s">
        <v>102</v>
      </c>
      <c r="F221" s="72" t="s">
        <v>168</v>
      </c>
      <c r="G221" s="73">
        <v>2024307.0</v>
      </c>
      <c r="H221" s="73">
        <v>0.0</v>
      </c>
      <c r="I221" s="73">
        <v>2024307.0</v>
      </c>
      <c r="J221" s="73">
        <f t="shared" ref="J221:L221" si="1133">J222+J224+J227</f>
        <v>0</v>
      </c>
      <c r="K221" s="73">
        <f t="shared" si="1133"/>
        <v>0</v>
      </c>
      <c r="L221" s="73">
        <f t="shared" si="1133"/>
        <v>0</v>
      </c>
      <c r="M221" s="73">
        <f t="shared" ref="M221:O221" si="1134">M222+M224+M227+M230+M231</f>
        <v>7405.30652</v>
      </c>
      <c r="N221" s="73">
        <f t="shared" si="1134"/>
        <v>0</v>
      </c>
      <c r="O221" s="73">
        <f t="shared" si="1134"/>
        <v>7405.30652</v>
      </c>
      <c r="P221" s="73">
        <f t="shared" ref="P221:R221" si="1135">P222+P224+P227</f>
        <v>0</v>
      </c>
      <c r="Q221" s="73">
        <f t="shared" si="1135"/>
        <v>0</v>
      </c>
      <c r="R221" s="73">
        <f t="shared" si="1135"/>
        <v>0</v>
      </c>
      <c r="S221" s="73">
        <f t="shared" ref="S221:U221" si="1136">S222+S224+S227+S230+S231</f>
        <v>13865.09633</v>
      </c>
      <c r="T221" s="73">
        <f t="shared" si="1136"/>
        <v>0</v>
      </c>
      <c r="U221" s="73">
        <f t="shared" si="1136"/>
        <v>13865.09633</v>
      </c>
      <c r="V221" s="73">
        <v>2573.0</v>
      </c>
      <c r="W221" s="73">
        <f>W222+W224+W227</f>
        <v>0</v>
      </c>
      <c r="X221" s="73">
        <v>2573.0</v>
      </c>
      <c r="Y221" s="73">
        <f t="shared" ref="Y221:AA221" si="1137">Y222+Y224+Y227+Y230+Y231</f>
        <v>505475.6572</v>
      </c>
      <c r="Z221" s="73">
        <f t="shared" si="1137"/>
        <v>0</v>
      </c>
      <c r="AA221" s="73">
        <f t="shared" si="1137"/>
        <v>505475.6572</v>
      </c>
      <c r="AB221" s="73">
        <f t="shared" ref="AB221:AG221" si="1138">J221+P221+V221</f>
        <v>2573</v>
      </c>
      <c r="AC221" s="73">
        <f t="shared" si="1138"/>
        <v>0</v>
      </c>
      <c r="AD221" s="73">
        <f t="shared" si="1138"/>
        <v>2573</v>
      </c>
      <c r="AE221" s="73">
        <f t="shared" si="1138"/>
        <v>526746.0601</v>
      </c>
      <c r="AF221" s="73">
        <f t="shared" si="1138"/>
        <v>0</v>
      </c>
      <c r="AG221" s="73">
        <f t="shared" si="1138"/>
        <v>526746.0601</v>
      </c>
      <c r="AH221" s="73">
        <v>8721.0</v>
      </c>
      <c r="AI221" s="73">
        <v>0.0</v>
      </c>
      <c r="AJ221" s="73">
        <v>8721.0</v>
      </c>
      <c r="AK221" s="73">
        <f t="shared" ref="AK221:AM221" si="1139">AK222+AK224+AK227+AK230+AK231</f>
        <v>165053.2172</v>
      </c>
      <c r="AL221" s="73">
        <f t="shared" si="1139"/>
        <v>0</v>
      </c>
      <c r="AM221" s="73">
        <f t="shared" si="1139"/>
        <v>165053.2172</v>
      </c>
      <c r="AN221" s="73">
        <f t="shared" ref="AN221:AS221" si="1140">AB221+AH221</f>
        <v>11294</v>
      </c>
      <c r="AO221" s="73">
        <f t="shared" si="1140"/>
        <v>0</v>
      </c>
      <c r="AP221" s="73">
        <f t="shared" si="1140"/>
        <v>11294</v>
      </c>
      <c r="AQ221" s="73">
        <f t="shared" si="1140"/>
        <v>691799.2773</v>
      </c>
      <c r="AR221" s="73">
        <f t="shared" si="1140"/>
        <v>0</v>
      </c>
      <c r="AS221" s="73">
        <f t="shared" si="1140"/>
        <v>691799.2773</v>
      </c>
      <c r="AT221" s="73">
        <v>13081.0</v>
      </c>
      <c r="AU221" s="73"/>
      <c r="AV221" s="73">
        <v>13081.0</v>
      </c>
      <c r="AW221" s="73">
        <f t="shared" ref="AW221:AY221" si="1141">AW222+AW224+AW227+AW230+AW231</f>
        <v>31955.75553</v>
      </c>
      <c r="AX221" s="73">
        <f t="shared" si="1141"/>
        <v>0</v>
      </c>
      <c r="AY221" s="73">
        <f t="shared" si="1141"/>
        <v>31955.75553</v>
      </c>
      <c r="AZ221" s="73">
        <f t="shared" ref="AZ221:BE221" si="1142">AN221+AT221</f>
        <v>24375</v>
      </c>
      <c r="BA221" s="73">
        <f t="shared" si="1142"/>
        <v>0</v>
      </c>
      <c r="BB221" s="73">
        <f t="shared" si="1142"/>
        <v>24375</v>
      </c>
      <c r="BC221" s="73">
        <f t="shared" si="1142"/>
        <v>723755.0328</v>
      </c>
      <c r="BD221" s="73">
        <f t="shared" si="1142"/>
        <v>0</v>
      </c>
      <c r="BE221" s="73">
        <f t="shared" si="1142"/>
        <v>723755.0328</v>
      </c>
      <c r="BF221" s="73"/>
      <c r="BG221" s="73"/>
      <c r="BH221" s="73"/>
      <c r="BI221" s="73"/>
      <c r="BJ221" s="73"/>
      <c r="BK221" s="73"/>
      <c r="BL221" s="73"/>
      <c r="BM221" s="73"/>
      <c r="BN221" s="73"/>
      <c r="BO221" s="73"/>
      <c r="BP221" s="73"/>
      <c r="BQ221" s="73"/>
      <c r="BR221" s="73"/>
      <c r="BS221" s="73"/>
      <c r="BT221" s="73"/>
      <c r="BU221" s="73"/>
      <c r="BV221" s="73"/>
      <c r="BW221" s="73"/>
      <c r="BX221" s="73"/>
      <c r="BY221" s="73"/>
      <c r="BZ221" s="73"/>
      <c r="CA221" s="73"/>
      <c r="CB221" s="73"/>
      <c r="CC221" s="73"/>
      <c r="CD221" s="73"/>
      <c r="CE221" s="73"/>
      <c r="CF221" s="73"/>
      <c r="CG221" s="73"/>
      <c r="CH221" s="73"/>
      <c r="CI221" s="73"/>
      <c r="CJ221" s="73"/>
      <c r="CK221" s="73"/>
      <c r="CL221" s="73"/>
      <c r="CM221" s="73"/>
      <c r="CN221" s="73"/>
      <c r="CO221" s="73"/>
      <c r="CP221" s="73"/>
      <c r="CQ221" s="73"/>
      <c r="CR221" s="73"/>
      <c r="CS221" s="73"/>
      <c r="CT221" s="73"/>
      <c r="CU221" s="73"/>
      <c r="CV221" s="73"/>
      <c r="CW221" s="73"/>
      <c r="CX221" s="73"/>
      <c r="CY221" s="73"/>
      <c r="CZ221" s="73"/>
      <c r="DA221" s="73"/>
      <c r="DB221" s="73"/>
      <c r="DC221" s="73"/>
      <c r="DD221" s="73"/>
      <c r="DE221" s="73"/>
      <c r="DF221" s="73"/>
      <c r="DG221" s="73"/>
      <c r="DH221" s="73"/>
      <c r="DI221" s="73"/>
      <c r="DJ221" s="73"/>
      <c r="DK221" s="73"/>
      <c r="DL221" s="73"/>
      <c r="DM221" s="73"/>
      <c r="DN221" s="73"/>
      <c r="DO221" s="73"/>
      <c r="DP221" s="73"/>
      <c r="DQ221" s="73"/>
      <c r="DR221" s="73"/>
      <c r="DS221" s="73"/>
      <c r="DT221" s="73"/>
      <c r="DU221" s="74"/>
      <c r="DV221" s="74"/>
      <c r="DW221" s="72"/>
      <c r="DX221" s="72"/>
      <c r="DY221" s="72"/>
      <c r="DZ221" s="75"/>
      <c r="EA221" s="76"/>
    </row>
    <row r="222" ht="21.75" customHeight="1">
      <c r="A222" s="64"/>
      <c r="B222" s="70"/>
      <c r="C222" s="71"/>
      <c r="D222" s="71"/>
      <c r="E222" s="71"/>
      <c r="F222" s="78" t="s">
        <v>46</v>
      </c>
      <c r="G222" s="73"/>
      <c r="H222" s="73"/>
      <c r="I222" s="73"/>
      <c r="J222" s="73"/>
      <c r="K222" s="73"/>
      <c r="L222" s="73"/>
      <c r="M222" s="79">
        <f t="shared" ref="M222:O222" si="1143">M223</f>
        <v>0</v>
      </c>
      <c r="N222" s="79">
        <f t="shared" si="1143"/>
        <v>0</v>
      </c>
      <c r="O222" s="79">
        <f t="shared" si="1143"/>
        <v>0</v>
      </c>
      <c r="P222" s="79"/>
      <c r="Q222" s="79"/>
      <c r="R222" s="79"/>
      <c r="S222" s="79">
        <f t="shared" ref="S222:U222" si="1144">S223</f>
        <v>3176.03594</v>
      </c>
      <c r="T222" s="79">
        <f t="shared" si="1144"/>
        <v>0</v>
      </c>
      <c r="U222" s="79">
        <f t="shared" si="1144"/>
        <v>3176.03594</v>
      </c>
      <c r="V222" s="79"/>
      <c r="W222" s="79"/>
      <c r="X222" s="79"/>
      <c r="Y222" s="79">
        <f t="shared" ref="Y222:AA222" si="1145">Y223</f>
        <v>0</v>
      </c>
      <c r="Z222" s="79">
        <f t="shared" si="1145"/>
        <v>0</v>
      </c>
      <c r="AA222" s="79">
        <f t="shared" si="1145"/>
        <v>0</v>
      </c>
      <c r="AB222" s="79"/>
      <c r="AC222" s="79"/>
      <c r="AD222" s="79"/>
      <c r="AE222" s="79">
        <f t="shared" ref="AE222:AG222" si="1146">M222+S222+Y222</f>
        <v>3176.03594</v>
      </c>
      <c r="AF222" s="79">
        <f t="shared" si="1146"/>
        <v>0</v>
      </c>
      <c r="AG222" s="79">
        <f t="shared" si="1146"/>
        <v>3176.03594</v>
      </c>
      <c r="AH222" s="73"/>
      <c r="AI222" s="73"/>
      <c r="AJ222" s="73"/>
      <c r="AK222" s="79">
        <f t="shared" ref="AK222:AM222" si="1147">AK223</f>
        <v>0</v>
      </c>
      <c r="AL222" s="79">
        <f t="shared" si="1147"/>
        <v>0</v>
      </c>
      <c r="AM222" s="79">
        <f t="shared" si="1147"/>
        <v>0</v>
      </c>
      <c r="AN222" s="73"/>
      <c r="AO222" s="73"/>
      <c r="AP222" s="73"/>
      <c r="AQ222" s="79">
        <f t="shared" ref="AQ222:AS222" si="1148">AE222+AK222</f>
        <v>3176.03594</v>
      </c>
      <c r="AR222" s="79">
        <f t="shared" si="1148"/>
        <v>0</v>
      </c>
      <c r="AS222" s="79">
        <f t="shared" si="1148"/>
        <v>3176.03594</v>
      </c>
      <c r="AT222" s="73"/>
      <c r="AU222" s="73"/>
      <c r="AV222" s="73"/>
      <c r="AW222" s="79">
        <v>0.0</v>
      </c>
      <c r="AX222" s="79">
        <v>0.0</v>
      </c>
      <c r="AY222" s="79">
        <v>0.0</v>
      </c>
      <c r="AZ222" s="73"/>
      <c r="BA222" s="73"/>
      <c r="BB222" s="73"/>
      <c r="BC222" s="79">
        <f t="shared" ref="BC222:BE222" si="1149">AQ222+AW222</f>
        <v>3176.03594</v>
      </c>
      <c r="BD222" s="79">
        <f t="shared" si="1149"/>
        <v>0</v>
      </c>
      <c r="BE222" s="79">
        <f t="shared" si="1149"/>
        <v>3176.03594</v>
      </c>
      <c r="BF222" s="73"/>
      <c r="BG222" s="73"/>
      <c r="BH222" s="73"/>
      <c r="BI222" s="73"/>
      <c r="BJ222" s="73"/>
      <c r="BK222" s="73"/>
      <c r="BL222" s="73"/>
      <c r="BM222" s="73"/>
      <c r="BN222" s="73"/>
      <c r="BO222" s="73"/>
      <c r="BP222" s="73"/>
      <c r="BQ222" s="73"/>
      <c r="BR222" s="73"/>
      <c r="BS222" s="73"/>
      <c r="BT222" s="73"/>
      <c r="BU222" s="73"/>
      <c r="BV222" s="73"/>
      <c r="BW222" s="73"/>
      <c r="BX222" s="73"/>
      <c r="BY222" s="73"/>
      <c r="BZ222" s="73"/>
      <c r="CA222" s="73"/>
      <c r="CB222" s="73"/>
      <c r="CC222" s="73"/>
      <c r="CD222" s="73"/>
      <c r="CE222" s="73"/>
      <c r="CF222" s="73"/>
      <c r="CG222" s="73"/>
      <c r="CH222" s="73"/>
      <c r="CI222" s="73"/>
      <c r="CJ222" s="73"/>
      <c r="CK222" s="73"/>
      <c r="CL222" s="73"/>
      <c r="CM222" s="73"/>
      <c r="CN222" s="73"/>
      <c r="CO222" s="73"/>
      <c r="CP222" s="73"/>
      <c r="CQ222" s="73"/>
      <c r="CR222" s="73"/>
      <c r="CS222" s="73"/>
      <c r="CT222" s="73"/>
      <c r="CU222" s="73"/>
      <c r="CV222" s="73"/>
      <c r="CW222" s="73"/>
      <c r="CX222" s="73"/>
      <c r="CY222" s="73"/>
      <c r="CZ222" s="73"/>
      <c r="DA222" s="73"/>
      <c r="DB222" s="73"/>
      <c r="DC222" s="73"/>
      <c r="DD222" s="73"/>
      <c r="DE222" s="73"/>
      <c r="DF222" s="73"/>
      <c r="DG222" s="73"/>
      <c r="DH222" s="73"/>
      <c r="DI222" s="73"/>
      <c r="DJ222" s="73"/>
      <c r="DK222" s="73"/>
      <c r="DL222" s="73"/>
      <c r="DM222" s="73"/>
      <c r="DN222" s="73"/>
      <c r="DO222" s="73"/>
      <c r="DP222" s="73"/>
      <c r="DQ222" s="73"/>
      <c r="DR222" s="73"/>
      <c r="DS222" s="73"/>
      <c r="DT222" s="73"/>
      <c r="DU222" s="74"/>
      <c r="DV222" s="74"/>
      <c r="DW222" s="72"/>
      <c r="DX222" s="72"/>
      <c r="DY222" s="72"/>
      <c r="DZ222" s="75"/>
      <c r="EA222" s="82"/>
    </row>
    <row r="223" ht="21.75" customHeight="1">
      <c r="A223" s="64"/>
      <c r="B223" s="70"/>
      <c r="C223" s="71"/>
      <c r="D223" s="71"/>
      <c r="E223" s="71"/>
      <c r="F223" s="81" t="s">
        <v>47</v>
      </c>
      <c r="G223" s="73"/>
      <c r="H223" s="73"/>
      <c r="I223" s="73"/>
      <c r="J223" s="73"/>
      <c r="K223" s="73"/>
      <c r="L223" s="73"/>
      <c r="M223" s="73">
        <v>0.0</v>
      </c>
      <c r="N223" s="73">
        <v>0.0</v>
      </c>
      <c r="O223" s="73">
        <v>0.0</v>
      </c>
      <c r="P223" s="73"/>
      <c r="Q223" s="73"/>
      <c r="R223" s="73"/>
      <c r="S223" s="73">
        <f>T223+U223</f>
        <v>3176.03594</v>
      </c>
      <c r="T223" s="73">
        <v>0.0</v>
      </c>
      <c r="U223" s="73">
        <v>3176.03594</v>
      </c>
      <c r="V223" s="73"/>
      <c r="W223" s="73"/>
      <c r="X223" s="73"/>
      <c r="Y223" s="73">
        <v>0.0</v>
      </c>
      <c r="Z223" s="73">
        <v>0.0</v>
      </c>
      <c r="AA223" s="73">
        <v>0.0</v>
      </c>
      <c r="AB223" s="73"/>
      <c r="AC223" s="73"/>
      <c r="AD223" s="73"/>
      <c r="AE223" s="73">
        <f t="shared" ref="AE223:AG223" si="1150">M223+S223+Y223</f>
        <v>3176.03594</v>
      </c>
      <c r="AF223" s="73">
        <f t="shared" si="1150"/>
        <v>0</v>
      </c>
      <c r="AG223" s="73">
        <f t="shared" si="1150"/>
        <v>3176.03594</v>
      </c>
      <c r="AH223" s="73"/>
      <c r="AI223" s="73"/>
      <c r="AJ223" s="73"/>
      <c r="AK223" s="73">
        <v>0.0</v>
      </c>
      <c r="AL223" s="73">
        <v>0.0</v>
      </c>
      <c r="AM223" s="73">
        <v>0.0</v>
      </c>
      <c r="AN223" s="73"/>
      <c r="AO223" s="73"/>
      <c r="AP223" s="73"/>
      <c r="AQ223" s="73">
        <f t="shared" ref="AQ223:AS223" si="1151">AE223+AK223</f>
        <v>3176.03594</v>
      </c>
      <c r="AR223" s="73">
        <f t="shared" si="1151"/>
        <v>0</v>
      </c>
      <c r="AS223" s="73">
        <f t="shared" si="1151"/>
        <v>3176.03594</v>
      </c>
      <c r="AT223" s="73"/>
      <c r="AU223" s="73"/>
      <c r="AV223" s="73"/>
      <c r="AW223" s="73">
        <v>0.0</v>
      </c>
      <c r="AX223" s="73">
        <v>0.0</v>
      </c>
      <c r="AY223" s="73">
        <v>0.0</v>
      </c>
      <c r="AZ223" s="73"/>
      <c r="BA223" s="73"/>
      <c r="BB223" s="73"/>
      <c r="BC223" s="73">
        <f t="shared" ref="BC223:BE223" si="1152">AQ223+AW223</f>
        <v>3176.03594</v>
      </c>
      <c r="BD223" s="73">
        <f t="shared" si="1152"/>
        <v>0</v>
      </c>
      <c r="BE223" s="73">
        <f t="shared" si="1152"/>
        <v>3176.03594</v>
      </c>
      <c r="BF223" s="73"/>
      <c r="BG223" s="73"/>
      <c r="BH223" s="73"/>
      <c r="BI223" s="73"/>
      <c r="BJ223" s="73"/>
      <c r="BK223" s="73"/>
      <c r="BL223" s="73"/>
      <c r="BM223" s="73"/>
      <c r="BN223" s="73"/>
      <c r="BO223" s="73"/>
      <c r="BP223" s="73"/>
      <c r="BQ223" s="73"/>
      <c r="BR223" s="73"/>
      <c r="BS223" s="73"/>
      <c r="BT223" s="73"/>
      <c r="BU223" s="73"/>
      <c r="BV223" s="73"/>
      <c r="BW223" s="73"/>
      <c r="BX223" s="73"/>
      <c r="BY223" s="73"/>
      <c r="BZ223" s="73"/>
      <c r="CA223" s="73"/>
      <c r="CB223" s="73"/>
      <c r="CC223" s="73"/>
      <c r="CD223" s="73"/>
      <c r="CE223" s="73"/>
      <c r="CF223" s="73"/>
      <c r="CG223" s="73"/>
      <c r="CH223" s="73"/>
      <c r="CI223" s="73"/>
      <c r="CJ223" s="73"/>
      <c r="CK223" s="73"/>
      <c r="CL223" s="73"/>
      <c r="CM223" s="73"/>
      <c r="CN223" s="73"/>
      <c r="CO223" s="73"/>
      <c r="CP223" s="73"/>
      <c r="CQ223" s="73"/>
      <c r="CR223" s="73"/>
      <c r="CS223" s="73"/>
      <c r="CT223" s="73"/>
      <c r="CU223" s="73"/>
      <c r="CV223" s="73"/>
      <c r="CW223" s="73"/>
      <c r="CX223" s="73"/>
      <c r="CY223" s="73"/>
      <c r="CZ223" s="73"/>
      <c r="DA223" s="73"/>
      <c r="DB223" s="73"/>
      <c r="DC223" s="73"/>
      <c r="DD223" s="73"/>
      <c r="DE223" s="73"/>
      <c r="DF223" s="73"/>
      <c r="DG223" s="73"/>
      <c r="DH223" s="73"/>
      <c r="DI223" s="73"/>
      <c r="DJ223" s="73"/>
      <c r="DK223" s="73"/>
      <c r="DL223" s="73"/>
      <c r="DM223" s="73"/>
      <c r="DN223" s="73"/>
      <c r="DO223" s="73"/>
      <c r="DP223" s="73"/>
      <c r="DQ223" s="73"/>
      <c r="DR223" s="73"/>
      <c r="DS223" s="73"/>
      <c r="DT223" s="73"/>
      <c r="DU223" s="74"/>
      <c r="DV223" s="74"/>
      <c r="DW223" s="72"/>
      <c r="DX223" s="72"/>
      <c r="DY223" s="72"/>
      <c r="DZ223" s="75"/>
      <c r="EA223" s="82"/>
    </row>
    <row r="224" ht="21.75" customHeight="1">
      <c r="A224" s="64"/>
      <c r="B224" s="70"/>
      <c r="C224" s="71"/>
      <c r="D224" s="71"/>
      <c r="E224" s="71"/>
      <c r="F224" s="78" t="s">
        <v>48</v>
      </c>
      <c r="G224" s="73"/>
      <c r="H224" s="73"/>
      <c r="I224" s="73"/>
      <c r="J224" s="73"/>
      <c r="K224" s="73"/>
      <c r="L224" s="73"/>
      <c r="M224" s="79">
        <f t="shared" ref="M224:O224" si="1153">M225+M226</f>
        <v>7405.30652</v>
      </c>
      <c r="N224" s="79">
        <f t="shared" si="1153"/>
        <v>0</v>
      </c>
      <c r="O224" s="79">
        <f t="shared" si="1153"/>
        <v>7405.30652</v>
      </c>
      <c r="P224" s="79"/>
      <c r="Q224" s="79"/>
      <c r="R224" s="79"/>
      <c r="S224" s="79">
        <f t="shared" ref="S224:U224" si="1154">S225+S226</f>
        <v>5835.50002</v>
      </c>
      <c r="T224" s="79">
        <f t="shared" si="1154"/>
        <v>0</v>
      </c>
      <c r="U224" s="79">
        <f t="shared" si="1154"/>
        <v>5835.50002</v>
      </c>
      <c r="V224" s="79"/>
      <c r="W224" s="79"/>
      <c r="X224" s="79"/>
      <c r="Y224" s="79">
        <f t="shared" ref="Y224:AA224" si="1155">Y225+Y226</f>
        <v>5612</v>
      </c>
      <c r="Z224" s="79">
        <f t="shared" si="1155"/>
        <v>0</v>
      </c>
      <c r="AA224" s="79">
        <f t="shared" si="1155"/>
        <v>5612</v>
      </c>
      <c r="AB224" s="79"/>
      <c r="AC224" s="79"/>
      <c r="AD224" s="79"/>
      <c r="AE224" s="79">
        <f t="shared" ref="AE224:AG224" si="1156">M224+S224+Y224</f>
        <v>18852.80654</v>
      </c>
      <c r="AF224" s="79">
        <f t="shared" si="1156"/>
        <v>0</v>
      </c>
      <c r="AG224" s="79">
        <f t="shared" si="1156"/>
        <v>18852.80654</v>
      </c>
      <c r="AH224" s="73"/>
      <c r="AI224" s="73"/>
      <c r="AJ224" s="73"/>
      <c r="AK224" s="79">
        <f t="shared" ref="AK224:AM224" si="1157">AK225+AK226</f>
        <v>2428.52478</v>
      </c>
      <c r="AL224" s="79">
        <f t="shared" si="1157"/>
        <v>0</v>
      </c>
      <c r="AM224" s="79">
        <f t="shared" si="1157"/>
        <v>2428.52478</v>
      </c>
      <c r="AN224" s="73"/>
      <c r="AO224" s="73"/>
      <c r="AP224" s="73"/>
      <c r="AQ224" s="79">
        <f t="shared" ref="AQ224:AS224" si="1158">AE224+AK224</f>
        <v>21281.33132</v>
      </c>
      <c r="AR224" s="79">
        <f t="shared" si="1158"/>
        <v>0</v>
      </c>
      <c r="AS224" s="79">
        <f t="shared" si="1158"/>
        <v>21281.33132</v>
      </c>
      <c r="AT224" s="73"/>
      <c r="AU224" s="73"/>
      <c r="AV224" s="73"/>
      <c r="AW224" s="79">
        <f t="shared" ref="AW224:AY224" si="1159">AW225+AW226</f>
        <v>7053.72296</v>
      </c>
      <c r="AX224" s="79">
        <f t="shared" si="1159"/>
        <v>0</v>
      </c>
      <c r="AY224" s="79">
        <f t="shared" si="1159"/>
        <v>7053.72296</v>
      </c>
      <c r="AZ224" s="73"/>
      <c r="BA224" s="73"/>
      <c r="BB224" s="73"/>
      <c r="BC224" s="79">
        <f t="shared" ref="BC224:BE224" si="1160">AQ224+AW224</f>
        <v>28335.05428</v>
      </c>
      <c r="BD224" s="79">
        <f t="shared" si="1160"/>
        <v>0</v>
      </c>
      <c r="BE224" s="79">
        <f t="shared" si="1160"/>
        <v>28335.05428</v>
      </c>
      <c r="BF224" s="73"/>
      <c r="BG224" s="73"/>
      <c r="BH224" s="73"/>
      <c r="BI224" s="73"/>
      <c r="BJ224" s="73"/>
      <c r="BK224" s="73"/>
      <c r="BL224" s="73"/>
      <c r="BM224" s="73"/>
      <c r="BN224" s="73"/>
      <c r="BO224" s="73"/>
      <c r="BP224" s="73"/>
      <c r="BQ224" s="73"/>
      <c r="BR224" s="73"/>
      <c r="BS224" s="73"/>
      <c r="BT224" s="73"/>
      <c r="BU224" s="73"/>
      <c r="BV224" s="73"/>
      <c r="BW224" s="73"/>
      <c r="BX224" s="73"/>
      <c r="BY224" s="73"/>
      <c r="BZ224" s="73"/>
      <c r="CA224" s="73"/>
      <c r="CB224" s="73"/>
      <c r="CC224" s="73"/>
      <c r="CD224" s="73"/>
      <c r="CE224" s="73"/>
      <c r="CF224" s="73"/>
      <c r="CG224" s="73"/>
      <c r="CH224" s="73"/>
      <c r="CI224" s="73"/>
      <c r="CJ224" s="73"/>
      <c r="CK224" s="73"/>
      <c r="CL224" s="73"/>
      <c r="CM224" s="73"/>
      <c r="CN224" s="73"/>
      <c r="CO224" s="73"/>
      <c r="CP224" s="73"/>
      <c r="CQ224" s="73"/>
      <c r="CR224" s="73"/>
      <c r="CS224" s="73"/>
      <c r="CT224" s="73"/>
      <c r="CU224" s="73"/>
      <c r="CV224" s="73"/>
      <c r="CW224" s="73"/>
      <c r="CX224" s="73"/>
      <c r="CY224" s="73"/>
      <c r="CZ224" s="73"/>
      <c r="DA224" s="73"/>
      <c r="DB224" s="73"/>
      <c r="DC224" s="73"/>
      <c r="DD224" s="73"/>
      <c r="DE224" s="73"/>
      <c r="DF224" s="73"/>
      <c r="DG224" s="73"/>
      <c r="DH224" s="73"/>
      <c r="DI224" s="73"/>
      <c r="DJ224" s="73"/>
      <c r="DK224" s="73"/>
      <c r="DL224" s="73"/>
      <c r="DM224" s="73"/>
      <c r="DN224" s="73"/>
      <c r="DO224" s="73"/>
      <c r="DP224" s="73"/>
      <c r="DQ224" s="73"/>
      <c r="DR224" s="73"/>
      <c r="DS224" s="73"/>
      <c r="DT224" s="73"/>
      <c r="DU224" s="74"/>
      <c r="DV224" s="74"/>
      <c r="DW224" s="72"/>
      <c r="DX224" s="72"/>
      <c r="DY224" s="72"/>
      <c r="DZ224" s="75"/>
      <c r="EA224" s="82"/>
    </row>
    <row r="225" ht="21.75" customHeight="1">
      <c r="A225" s="64"/>
      <c r="B225" s="70"/>
      <c r="C225" s="71"/>
      <c r="D225" s="71"/>
      <c r="E225" s="71"/>
      <c r="F225" s="81" t="s">
        <v>47</v>
      </c>
      <c r="G225" s="73"/>
      <c r="H225" s="73"/>
      <c r="I225" s="73"/>
      <c r="J225" s="73"/>
      <c r="K225" s="73"/>
      <c r="L225" s="73"/>
      <c r="M225" s="73">
        <f>N225+O225</f>
        <v>7405.30652</v>
      </c>
      <c r="N225" s="73">
        <v>0.0</v>
      </c>
      <c r="O225" s="73">
        <v>7405.30652</v>
      </c>
      <c r="P225" s="73"/>
      <c r="Q225" s="73"/>
      <c r="R225" s="73"/>
      <c r="S225" s="73">
        <f>T225+U225</f>
        <v>5835.50002</v>
      </c>
      <c r="T225" s="73">
        <v>0.0</v>
      </c>
      <c r="U225" s="73">
        <v>5835.50002</v>
      </c>
      <c r="V225" s="73"/>
      <c r="W225" s="73"/>
      <c r="X225" s="73"/>
      <c r="Y225" s="73">
        <v>5643.31298</v>
      </c>
      <c r="Z225" s="73">
        <v>0.0</v>
      </c>
      <c r="AA225" s="73">
        <v>5643.31298</v>
      </c>
      <c r="AB225" s="73"/>
      <c r="AC225" s="73"/>
      <c r="AD225" s="73"/>
      <c r="AE225" s="73">
        <f t="shared" ref="AE225:AG225" si="1161">M225+S225+Y225</f>
        <v>18884.11952</v>
      </c>
      <c r="AF225" s="73">
        <f t="shared" si="1161"/>
        <v>0</v>
      </c>
      <c r="AG225" s="73">
        <f t="shared" si="1161"/>
        <v>18884.11952</v>
      </c>
      <c r="AH225" s="73"/>
      <c r="AI225" s="73"/>
      <c r="AJ225" s="73"/>
      <c r="AK225" s="73">
        <f>AL225+AM225</f>
        <v>2428.52478</v>
      </c>
      <c r="AL225" s="73">
        <v>0.0</v>
      </c>
      <c r="AM225" s="73">
        <v>2428.52478</v>
      </c>
      <c r="AN225" s="73"/>
      <c r="AO225" s="73"/>
      <c r="AP225" s="73"/>
      <c r="AQ225" s="73">
        <f t="shared" ref="AQ225:AS225" si="1162">AE225+AK225</f>
        <v>21312.6443</v>
      </c>
      <c r="AR225" s="73">
        <f t="shared" si="1162"/>
        <v>0</v>
      </c>
      <c r="AS225" s="73">
        <f t="shared" si="1162"/>
        <v>21312.6443</v>
      </c>
      <c r="AT225" s="73"/>
      <c r="AU225" s="73"/>
      <c r="AV225" s="73"/>
      <c r="AW225" s="73">
        <f>4426.80958+2639.39108</f>
        <v>7066.20066</v>
      </c>
      <c r="AX225" s="73">
        <v>0.0</v>
      </c>
      <c r="AY225" s="73">
        <f>4426.80958+2639.39108</f>
        <v>7066.20066</v>
      </c>
      <c r="AZ225" s="73"/>
      <c r="BA225" s="73"/>
      <c r="BB225" s="73"/>
      <c r="BC225" s="73">
        <f t="shared" ref="BC225:BE225" si="1163">AQ225+AW225</f>
        <v>28378.84496</v>
      </c>
      <c r="BD225" s="73">
        <f t="shared" si="1163"/>
        <v>0</v>
      </c>
      <c r="BE225" s="73">
        <f t="shared" si="1163"/>
        <v>28378.84496</v>
      </c>
      <c r="BF225" s="73"/>
      <c r="BG225" s="73"/>
      <c r="BH225" s="73"/>
      <c r="BI225" s="73"/>
      <c r="BJ225" s="73"/>
      <c r="BK225" s="73"/>
      <c r="BL225" s="73"/>
      <c r="BM225" s="73"/>
      <c r="BN225" s="73"/>
      <c r="BO225" s="73"/>
      <c r="BP225" s="73"/>
      <c r="BQ225" s="73"/>
      <c r="BR225" s="73"/>
      <c r="BS225" s="73"/>
      <c r="BT225" s="73"/>
      <c r="BU225" s="73"/>
      <c r="BV225" s="73"/>
      <c r="BW225" s="73"/>
      <c r="BX225" s="73"/>
      <c r="BY225" s="73"/>
      <c r="BZ225" s="73"/>
      <c r="CA225" s="73"/>
      <c r="CB225" s="73"/>
      <c r="CC225" s="73"/>
      <c r="CD225" s="73"/>
      <c r="CE225" s="73"/>
      <c r="CF225" s="73"/>
      <c r="CG225" s="73"/>
      <c r="CH225" s="73"/>
      <c r="CI225" s="73"/>
      <c r="CJ225" s="73"/>
      <c r="CK225" s="73"/>
      <c r="CL225" s="73"/>
      <c r="CM225" s="73"/>
      <c r="CN225" s="73"/>
      <c r="CO225" s="73"/>
      <c r="CP225" s="73"/>
      <c r="CQ225" s="73"/>
      <c r="CR225" s="73"/>
      <c r="CS225" s="73"/>
      <c r="CT225" s="73"/>
      <c r="CU225" s="73"/>
      <c r="CV225" s="73"/>
      <c r="CW225" s="73"/>
      <c r="CX225" s="73"/>
      <c r="CY225" s="73"/>
      <c r="CZ225" s="73"/>
      <c r="DA225" s="73"/>
      <c r="DB225" s="73"/>
      <c r="DC225" s="73"/>
      <c r="DD225" s="73"/>
      <c r="DE225" s="73"/>
      <c r="DF225" s="73"/>
      <c r="DG225" s="73"/>
      <c r="DH225" s="73"/>
      <c r="DI225" s="73"/>
      <c r="DJ225" s="73"/>
      <c r="DK225" s="73"/>
      <c r="DL225" s="73"/>
      <c r="DM225" s="73"/>
      <c r="DN225" s="73"/>
      <c r="DO225" s="73"/>
      <c r="DP225" s="73"/>
      <c r="DQ225" s="73"/>
      <c r="DR225" s="73"/>
      <c r="DS225" s="73"/>
      <c r="DT225" s="73"/>
      <c r="DU225" s="74"/>
      <c r="DV225" s="74"/>
      <c r="DW225" s="72"/>
      <c r="DX225" s="72"/>
      <c r="DY225" s="72"/>
      <c r="DZ225" s="75"/>
      <c r="EA225" s="82" t="s">
        <v>169</v>
      </c>
    </row>
    <row r="226" ht="21.75" customHeight="1">
      <c r="A226" s="64"/>
      <c r="B226" s="70"/>
      <c r="C226" s="71"/>
      <c r="D226" s="71"/>
      <c r="E226" s="71"/>
      <c r="F226" s="81" t="s">
        <v>50</v>
      </c>
      <c r="G226" s="73"/>
      <c r="H226" s="73"/>
      <c r="I226" s="73"/>
      <c r="J226" s="73"/>
      <c r="K226" s="73"/>
      <c r="L226" s="73"/>
      <c r="M226" s="73">
        <v>0.0</v>
      </c>
      <c r="N226" s="73">
        <v>0.0</v>
      </c>
      <c r="O226" s="73">
        <v>0.0</v>
      </c>
      <c r="P226" s="73"/>
      <c r="Q226" s="73"/>
      <c r="R226" s="73"/>
      <c r="S226" s="73">
        <v>0.0</v>
      </c>
      <c r="T226" s="73">
        <v>0.0</v>
      </c>
      <c r="U226" s="73">
        <v>0.0</v>
      </c>
      <c r="V226" s="73"/>
      <c r="W226" s="73"/>
      <c r="X226" s="73"/>
      <c r="Y226" s="73">
        <v>-31.312979999999698</v>
      </c>
      <c r="Z226" s="73">
        <v>0.0</v>
      </c>
      <c r="AA226" s="73">
        <v>-31.312979999999698</v>
      </c>
      <c r="AB226" s="73"/>
      <c r="AC226" s="73"/>
      <c r="AD226" s="73"/>
      <c r="AE226" s="73">
        <f t="shared" ref="AE226:AG226" si="1164">M226+S226+Y226</f>
        <v>-31.31298</v>
      </c>
      <c r="AF226" s="73">
        <f t="shared" si="1164"/>
        <v>0</v>
      </c>
      <c r="AG226" s="73">
        <f t="shared" si="1164"/>
        <v>-31.31298</v>
      </c>
      <c r="AH226" s="73"/>
      <c r="AI226" s="73"/>
      <c r="AJ226" s="73"/>
      <c r="AK226" s="73">
        <v>0.0</v>
      </c>
      <c r="AL226" s="73">
        <v>0.0</v>
      </c>
      <c r="AM226" s="73">
        <v>0.0</v>
      </c>
      <c r="AN226" s="73"/>
      <c r="AO226" s="73"/>
      <c r="AP226" s="73"/>
      <c r="AQ226" s="73">
        <f t="shared" ref="AQ226:AS226" si="1165">AE226+AK226</f>
        <v>-31.31298</v>
      </c>
      <c r="AR226" s="73">
        <f t="shared" si="1165"/>
        <v>0</v>
      </c>
      <c r="AS226" s="73">
        <f t="shared" si="1165"/>
        <v>-31.31298</v>
      </c>
      <c r="AT226" s="73"/>
      <c r="AU226" s="73"/>
      <c r="AV226" s="73"/>
      <c r="AW226" s="73">
        <v>-12.4777</v>
      </c>
      <c r="AX226" s="73">
        <v>0.0</v>
      </c>
      <c r="AY226" s="73">
        <v>-12.4777</v>
      </c>
      <c r="AZ226" s="73"/>
      <c r="BA226" s="73"/>
      <c r="BB226" s="73"/>
      <c r="BC226" s="73">
        <f t="shared" ref="BC226:BE226" si="1166">AQ226+AW226</f>
        <v>-43.79068</v>
      </c>
      <c r="BD226" s="73">
        <f t="shared" si="1166"/>
        <v>0</v>
      </c>
      <c r="BE226" s="73">
        <f t="shared" si="1166"/>
        <v>-43.79068</v>
      </c>
      <c r="BF226" s="73"/>
      <c r="BG226" s="73"/>
      <c r="BH226" s="73"/>
      <c r="BI226" s="73"/>
      <c r="BJ226" s="73"/>
      <c r="BK226" s="73"/>
      <c r="BL226" s="73"/>
      <c r="BM226" s="73"/>
      <c r="BN226" s="73"/>
      <c r="BO226" s="73"/>
      <c r="BP226" s="73"/>
      <c r="BQ226" s="73"/>
      <c r="BR226" s="73"/>
      <c r="BS226" s="73"/>
      <c r="BT226" s="73"/>
      <c r="BU226" s="73"/>
      <c r="BV226" s="73"/>
      <c r="BW226" s="73"/>
      <c r="BX226" s="73"/>
      <c r="BY226" s="73"/>
      <c r="BZ226" s="73"/>
      <c r="CA226" s="73"/>
      <c r="CB226" s="73"/>
      <c r="CC226" s="73"/>
      <c r="CD226" s="73"/>
      <c r="CE226" s="73"/>
      <c r="CF226" s="73"/>
      <c r="CG226" s="73"/>
      <c r="CH226" s="73"/>
      <c r="CI226" s="73"/>
      <c r="CJ226" s="73"/>
      <c r="CK226" s="73"/>
      <c r="CL226" s="73"/>
      <c r="CM226" s="73"/>
      <c r="CN226" s="73"/>
      <c r="CO226" s="73"/>
      <c r="CP226" s="73"/>
      <c r="CQ226" s="73"/>
      <c r="CR226" s="73"/>
      <c r="CS226" s="73"/>
      <c r="CT226" s="73"/>
      <c r="CU226" s="73"/>
      <c r="CV226" s="73"/>
      <c r="CW226" s="73"/>
      <c r="CX226" s="73"/>
      <c r="CY226" s="73"/>
      <c r="CZ226" s="73"/>
      <c r="DA226" s="73"/>
      <c r="DB226" s="73"/>
      <c r="DC226" s="73"/>
      <c r="DD226" s="73"/>
      <c r="DE226" s="73"/>
      <c r="DF226" s="73"/>
      <c r="DG226" s="73"/>
      <c r="DH226" s="73"/>
      <c r="DI226" s="73"/>
      <c r="DJ226" s="73"/>
      <c r="DK226" s="73"/>
      <c r="DL226" s="73"/>
      <c r="DM226" s="73"/>
      <c r="DN226" s="73"/>
      <c r="DO226" s="73"/>
      <c r="DP226" s="73"/>
      <c r="DQ226" s="73"/>
      <c r="DR226" s="73"/>
      <c r="DS226" s="73"/>
      <c r="DT226" s="73"/>
      <c r="DU226" s="74"/>
      <c r="DV226" s="74"/>
      <c r="DW226" s="72"/>
      <c r="DX226" s="72"/>
      <c r="DY226" s="72"/>
      <c r="DZ226" s="75"/>
      <c r="EA226" s="82"/>
    </row>
    <row r="227" ht="21.75" customHeight="1">
      <c r="A227" s="64"/>
      <c r="B227" s="70"/>
      <c r="C227" s="71"/>
      <c r="D227" s="71"/>
      <c r="E227" s="71"/>
      <c r="F227" s="78" t="s">
        <v>51</v>
      </c>
      <c r="G227" s="73"/>
      <c r="H227" s="73"/>
      <c r="I227" s="73"/>
      <c r="J227" s="73"/>
      <c r="K227" s="73"/>
      <c r="L227" s="73"/>
      <c r="M227" s="79">
        <f t="shared" ref="M227:O227" si="1167">M228+M229</f>
        <v>0</v>
      </c>
      <c r="N227" s="79">
        <f t="shared" si="1167"/>
        <v>0</v>
      </c>
      <c r="O227" s="79">
        <f t="shared" si="1167"/>
        <v>0</v>
      </c>
      <c r="P227" s="73"/>
      <c r="Q227" s="73"/>
      <c r="R227" s="73"/>
      <c r="S227" s="79">
        <f t="shared" ref="S227:U227" si="1168">S228+S229</f>
        <v>4853.56037</v>
      </c>
      <c r="T227" s="79">
        <f t="shared" si="1168"/>
        <v>0</v>
      </c>
      <c r="U227" s="79">
        <f t="shared" si="1168"/>
        <v>4853.56037</v>
      </c>
      <c r="V227" s="73"/>
      <c r="W227" s="73"/>
      <c r="X227" s="73"/>
      <c r="Y227" s="79">
        <f t="shared" ref="Y227:AA227" si="1169">Y228+Y229</f>
        <v>8712.65721</v>
      </c>
      <c r="Z227" s="79">
        <f t="shared" si="1169"/>
        <v>0</v>
      </c>
      <c r="AA227" s="79">
        <f t="shared" si="1169"/>
        <v>8712.65721</v>
      </c>
      <c r="AB227" s="73"/>
      <c r="AC227" s="73"/>
      <c r="AD227" s="73"/>
      <c r="AE227" s="79">
        <f t="shared" ref="AE227:AG227" si="1170">M227+S227+Y227</f>
        <v>13566.21758</v>
      </c>
      <c r="AF227" s="79">
        <f t="shared" si="1170"/>
        <v>0</v>
      </c>
      <c r="AG227" s="79">
        <f t="shared" si="1170"/>
        <v>13566.21758</v>
      </c>
      <c r="AH227" s="73"/>
      <c r="AI227" s="73"/>
      <c r="AJ227" s="73"/>
      <c r="AK227" s="79">
        <f t="shared" ref="AK227:AM227" si="1171">AK228+AK229</f>
        <v>0</v>
      </c>
      <c r="AL227" s="79">
        <f t="shared" si="1171"/>
        <v>0</v>
      </c>
      <c r="AM227" s="79">
        <f t="shared" si="1171"/>
        <v>0</v>
      </c>
      <c r="AN227" s="73"/>
      <c r="AO227" s="73"/>
      <c r="AP227" s="73"/>
      <c r="AQ227" s="79">
        <f t="shared" ref="AQ227:AS227" si="1172">AE227+AK227</f>
        <v>13566.21758</v>
      </c>
      <c r="AR227" s="79">
        <f t="shared" si="1172"/>
        <v>0</v>
      </c>
      <c r="AS227" s="79">
        <f t="shared" si="1172"/>
        <v>13566.21758</v>
      </c>
      <c r="AT227" s="73"/>
      <c r="AU227" s="73"/>
      <c r="AV227" s="73"/>
      <c r="AW227" s="79">
        <f t="shared" ref="AW227:AY227" si="1173">AW228+AW229</f>
        <v>8056.83673</v>
      </c>
      <c r="AX227" s="79">
        <f t="shared" si="1173"/>
        <v>0</v>
      </c>
      <c r="AY227" s="79">
        <f t="shared" si="1173"/>
        <v>8056.83673</v>
      </c>
      <c r="AZ227" s="73"/>
      <c r="BA227" s="73"/>
      <c r="BB227" s="73"/>
      <c r="BC227" s="79">
        <f t="shared" ref="BC227:BE227" si="1174">AQ227+AW227</f>
        <v>21623.05431</v>
      </c>
      <c r="BD227" s="79">
        <f t="shared" si="1174"/>
        <v>0</v>
      </c>
      <c r="BE227" s="79">
        <f t="shared" si="1174"/>
        <v>21623.05431</v>
      </c>
      <c r="BF227" s="73"/>
      <c r="BG227" s="73"/>
      <c r="BH227" s="73"/>
      <c r="BI227" s="73"/>
      <c r="BJ227" s="73"/>
      <c r="BK227" s="73"/>
      <c r="BL227" s="73"/>
      <c r="BM227" s="73"/>
      <c r="BN227" s="73"/>
      <c r="BO227" s="73"/>
      <c r="BP227" s="73"/>
      <c r="BQ227" s="73"/>
      <c r="BR227" s="73"/>
      <c r="BS227" s="73"/>
      <c r="BT227" s="73"/>
      <c r="BU227" s="73"/>
      <c r="BV227" s="73"/>
      <c r="BW227" s="73"/>
      <c r="BX227" s="73"/>
      <c r="BY227" s="73"/>
      <c r="BZ227" s="73"/>
      <c r="CA227" s="73"/>
      <c r="CB227" s="73"/>
      <c r="CC227" s="73"/>
      <c r="CD227" s="73"/>
      <c r="CE227" s="73"/>
      <c r="CF227" s="73"/>
      <c r="CG227" s="73"/>
      <c r="CH227" s="73"/>
      <c r="CI227" s="73"/>
      <c r="CJ227" s="73"/>
      <c r="CK227" s="73"/>
      <c r="CL227" s="73"/>
      <c r="CM227" s="73"/>
      <c r="CN227" s="73"/>
      <c r="CO227" s="73"/>
      <c r="CP227" s="73"/>
      <c r="CQ227" s="73"/>
      <c r="CR227" s="73"/>
      <c r="CS227" s="73"/>
      <c r="CT227" s="73"/>
      <c r="CU227" s="73"/>
      <c r="CV227" s="73"/>
      <c r="CW227" s="73"/>
      <c r="CX227" s="73"/>
      <c r="CY227" s="73"/>
      <c r="CZ227" s="73"/>
      <c r="DA227" s="73"/>
      <c r="DB227" s="73"/>
      <c r="DC227" s="73"/>
      <c r="DD227" s="73"/>
      <c r="DE227" s="73"/>
      <c r="DF227" s="73"/>
      <c r="DG227" s="73"/>
      <c r="DH227" s="73"/>
      <c r="DI227" s="73"/>
      <c r="DJ227" s="73"/>
      <c r="DK227" s="73"/>
      <c r="DL227" s="73"/>
      <c r="DM227" s="73"/>
      <c r="DN227" s="73"/>
      <c r="DO227" s="73"/>
      <c r="DP227" s="73"/>
      <c r="DQ227" s="73"/>
      <c r="DR227" s="73"/>
      <c r="DS227" s="73"/>
      <c r="DT227" s="73"/>
      <c r="DU227" s="74"/>
      <c r="DV227" s="74"/>
      <c r="DW227" s="72"/>
      <c r="DX227" s="72"/>
      <c r="DY227" s="72"/>
      <c r="DZ227" s="75"/>
      <c r="EA227" s="76"/>
    </row>
    <row r="228" ht="21.75" customHeight="1">
      <c r="A228" s="64"/>
      <c r="B228" s="70"/>
      <c r="C228" s="71"/>
      <c r="D228" s="71"/>
      <c r="E228" s="71"/>
      <c r="F228" s="81" t="s">
        <v>47</v>
      </c>
      <c r="G228" s="73"/>
      <c r="H228" s="73"/>
      <c r="I228" s="73"/>
      <c r="J228" s="73"/>
      <c r="K228" s="73"/>
      <c r="L228" s="73"/>
      <c r="M228" s="73">
        <v>0.0</v>
      </c>
      <c r="N228" s="73">
        <v>0.0</v>
      </c>
      <c r="O228" s="73">
        <v>0.0</v>
      </c>
      <c r="P228" s="73"/>
      <c r="Q228" s="73"/>
      <c r="R228" s="73"/>
      <c r="S228" s="73">
        <v>4853.56037</v>
      </c>
      <c r="T228" s="73">
        <v>0.0</v>
      </c>
      <c r="U228" s="73">
        <v>4853.56037</v>
      </c>
      <c r="V228" s="73"/>
      <c r="W228" s="73"/>
      <c r="X228" s="73"/>
      <c r="Y228" s="73">
        <f>Z228+AA228</f>
        <v>8712.65721</v>
      </c>
      <c r="Z228" s="73">
        <v>0.0</v>
      </c>
      <c r="AA228" s="73">
        <f>8712.65721</f>
        <v>8712.65721</v>
      </c>
      <c r="AB228" s="73"/>
      <c r="AC228" s="73"/>
      <c r="AD228" s="73"/>
      <c r="AE228" s="73">
        <f t="shared" ref="AE228:AG228" si="1175">M228+S228+Y228</f>
        <v>13566.21758</v>
      </c>
      <c r="AF228" s="73">
        <f t="shared" si="1175"/>
        <v>0</v>
      </c>
      <c r="AG228" s="73">
        <f t="shared" si="1175"/>
        <v>13566.21758</v>
      </c>
      <c r="AH228" s="73"/>
      <c r="AI228" s="73"/>
      <c r="AJ228" s="73"/>
      <c r="AK228" s="73">
        <v>0.0</v>
      </c>
      <c r="AL228" s="73">
        <v>0.0</v>
      </c>
      <c r="AM228" s="73">
        <v>0.0</v>
      </c>
      <c r="AN228" s="73"/>
      <c r="AO228" s="73"/>
      <c r="AP228" s="73"/>
      <c r="AQ228" s="73">
        <f t="shared" ref="AQ228:AS228" si="1176">AE228+AK228</f>
        <v>13566.21758</v>
      </c>
      <c r="AR228" s="73">
        <f t="shared" si="1176"/>
        <v>0</v>
      </c>
      <c r="AS228" s="73">
        <f t="shared" si="1176"/>
        <v>13566.21758</v>
      </c>
      <c r="AT228" s="73"/>
      <c r="AU228" s="73"/>
      <c r="AV228" s="73"/>
      <c r="AW228" s="73">
        <v>8056.83673</v>
      </c>
      <c r="AX228" s="73">
        <v>0.0</v>
      </c>
      <c r="AY228" s="73">
        <v>8056.83673</v>
      </c>
      <c r="AZ228" s="73"/>
      <c r="BA228" s="73"/>
      <c r="BB228" s="73"/>
      <c r="BC228" s="73">
        <f t="shared" ref="BC228:BE228" si="1177">AQ228+AW228</f>
        <v>21623.05431</v>
      </c>
      <c r="BD228" s="73">
        <f t="shared" si="1177"/>
        <v>0</v>
      </c>
      <c r="BE228" s="73">
        <f t="shared" si="1177"/>
        <v>21623.05431</v>
      </c>
      <c r="BF228" s="73"/>
      <c r="BG228" s="73"/>
      <c r="BH228" s="73"/>
      <c r="BI228" s="73"/>
      <c r="BJ228" s="73"/>
      <c r="BK228" s="73"/>
      <c r="BL228" s="73"/>
      <c r="BM228" s="73"/>
      <c r="BN228" s="73"/>
      <c r="BO228" s="73"/>
      <c r="BP228" s="73"/>
      <c r="BQ228" s="73"/>
      <c r="BR228" s="73"/>
      <c r="BS228" s="73"/>
      <c r="BT228" s="73"/>
      <c r="BU228" s="73"/>
      <c r="BV228" s="73"/>
      <c r="BW228" s="73"/>
      <c r="BX228" s="73"/>
      <c r="BY228" s="73"/>
      <c r="BZ228" s="73"/>
      <c r="CA228" s="73"/>
      <c r="CB228" s="73"/>
      <c r="CC228" s="73"/>
      <c r="CD228" s="73"/>
      <c r="CE228" s="73"/>
      <c r="CF228" s="73"/>
      <c r="CG228" s="73"/>
      <c r="CH228" s="73"/>
      <c r="CI228" s="73"/>
      <c r="CJ228" s="73"/>
      <c r="CK228" s="73"/>
      <c r="CL228" s="73"/>
      <c r="CM228" s="73"/>
      <c r="CN228" s="73"/>
      <c r="CO228" s="73"/>
      <c r="CP228" s="73"/>
      <c r="CQ228" s="73"/>
      <c r="CR228" s="73"/>
      <c r="CS228" s="73"/>
      <c r="CT228" s="73"/>
      <c r="CU228" s="73"/>
      <c r="CV228" s="73"/>
      <c r="CW228" s="73"/>
      <c r="CX228" s="73"/>
      <c r="CY228" s="73"/>
      <c r="CZ228" s="73"/>
      <c r="DA228" s="73"/>
      <c r="DB228" s="73"/>
      <c r="DC228" s="73"/>
      <c r="DD228" s="73"/>
      <c r="DE228" s="73"/>
      <c r="DF228" s="73"/>
      <c r="DG228" s="73"/>
      <c r="DH228" s="73"/>
      <c r="DI228" s="73"/>
      <c r="DJ228" s="73"/>
      <c r="DK228" s="73"/>
      <c r="DL228" s="73"/>
      <c r="DM228" s="73"/>
      <c r="DN228" s="73"/>
      <c r="DO228" s="73"/>
      <c r="DP228" s="73"/>
      <c r="DQ228" s="73"/>
      <c r="DR228" s="73"/>
      <c r="DS228" s="73"/>
      <c r="DT228" s="73"/>
      <c r="DU228" s="74"/>
      <c r="DV228" s="74"/>
      <c r="DW228" s="72"/>
      <c r="DX228" s="72"/>
      <c r="DY228" s="72"/>
      <c r="DZ228" s="75"/>
      <c r="EA228" s="76" t="s">
        <v>170</v>
      </c>
    </row>
    <row r="229" ht="21.75" customHeight="1">
      <c r="A229" s="64"/>
      <c r="B229" s="70"/>
      <c r="C229" s="71"/>
      <c r="D229" s="71"/>
      <c r="E229" s="71"/>
      <c r="F229" s="81" t="s">
        <v>52</v>
      </c>
      <c r="G229" s="73"/>
      <c r="H229" s="73"/>
      <c r="I229" s="73"/>
      <c r="J229" s="73"/>
      <c r="K229" s="73"/>
      <c r="L229" s="73"/>
      <c r="M229" s="73">
        <f t="shared" ref="M229:M231" si="1181">N229+O229</f>
        <v>0</v>
      </c>
      <c r="N229" s="73">
        <v>0.0</v>
      </c>
      <c r="O229" s="73">
        <v>0.0</v>
      </c>
      <c r="P229" s="73"/>
      <c r="Q229" s="73"/>
      <c r="R229" s="73"/>
      <c r="S229" s="73">
        <v>0.0</v>
      </c>
      <c r="T229" s="73">
        <v>0.0</v>
      </c>
      <c r="U229" s="73">
        <v>0.0</v>
      </c>
      <c r="V229" s="73"/>
      <c r="W229" s="73"/>
      <c r="X229" s="73"/>
      <c r="Y229" s="73">
        <v>0.0</v>
      </c>
      <c r="Z229" s="73">
        <v>0.0</v>
      </c>
      <c r="AA229" s="73">
        <v>0.0</v>
      </c>
      <c r="AB229" s="73"/>
      <c r="AC229" s="73"/>
      <c r="AD229" s="73"/>
      <c r="AE229" s="73">
        <f t="shared" ref="AE229:AG229" si="1178">M229+S229+Y229</f>
        <v>0</v>
      </c>
      <c r="AF229" s="73">
        <f t="shared" si="1178"/>
        <v>0</v>
      </c>
      <c r="AG229" s="73">
        <f t="shared" si="1178"/>
        <v>0</v>
      </c>
      <c r="AH229" s="73"/>
      <c r="AI229" s="73"/>
      <c r="AJ229" s="73"/>
      <c r="AK229" s="73">
        <v>0.0</v>
      </c>
      <c r="AL229" s="73">
        <v>0.0</v>
      </c>
      <c r="AM229" s="73">
        <v>0.0</v>
      </c>
      <c r="AN229" s="73"/>
      <c r="AO229" s="73"/>
      <c r="AP229" s="73"/>
      <c r="AQ229" s="73">
        <f t="shared" ref="AQ229:AS229" si="1179">AE229+AK229</f>
        <v>0</v>
      </c>
      <c r="AR229" s="73">
        <f t="shared" si="1179"/>
        <v>0</v>
      </c>
      <c r="AS229" s="73">
        <f t="shared" si="1179"/>
        <v>0</v>
      </c>
      <c r="AT229" s="73"/>
      <c r="AU229" s="73"/>
      <c r="AV229" s="73"/>
      <c r="AW229" s="73">
        <v>0.0</v>
      </c>
      <c r="AX229" s="73">
        <v>0.0</v>
      </c>
      <c r="AY229" s="73">
        <v>0.0</v>
      </c>
      <c r="AZ229" s="73"/>
      <c r="BA229" s="73"/>
      <c r="BB229" s="73"/>
      <c r="BC229" s="73">
        <f t="shared" ref="BC229:BE229" si="1180">AQ229+AW229</f>
        <v>0</v>
      </c>
      <c r="BD229" s="73">
        <f t="shared" si="1180"/>
        <v>0</v>
      </c>
      <c r="BE229" s="73">
        <f t="shared" si="1180"/>
        <v>0</v>
      </c>
      <c r="BF229" s="73"/>
      <c r="BG229" s="73"/>
      <c r="BH229" s="73"/>
      <c r="BI229" s="73"/>
      <c r="BJ229" s="73"/>
      <c r="BK229" s="73"/>
      <c r="BL229" s="73"/>
      <c r="BM229" s="73"/>
      <c r="BN229" s="73"/>
      <c r="BO229" s="73"/>
      <c r="BP229" s="73"/>
      <c r="BQ229" s="73"/>
      <c r="BR229" s="73"/>
      <c r="BS229" s="73"/>
      <c r="BT229" s="73"/>
      <c r="BU229" s="73"/>
      <c r="BV229" s="73"/>
      <c r="BW229" s="73"/>
      <c r="BX229" s="73"/>
      <c r="BY229" s="73"/>
      <c r="BZ229" s="73"/>
      <c r="CA229" s="73"/>
      <c r="CB229" s="73"/>
      <c r="CC229" s="73"/>
      <c r="CD229" s="73"/>
      <c r="CE229" s="73"/>
      <c r="CF229" s="73"/>
      <c r="CG229" s="73"/>
      <c r="CH229" s="73"/>
      <c r="CI229" s="73"/>
      <c r="CJ229" s="73"/>
      <c r="CK229" s="73"/>
      <c r="CL229" s="73"/>
      <c r="CM229" s="73"/>
      <c r="CN229" s="73"/>
      <c r="CO229" s="73"/>
      <c r="CP229" s="73"/>
      <c r="CQ229" s="73"/>
      <c r="CR229" s="73"/>
      <c r="CS229" s="73"/>
      <c r="CT229" s="73"/>
      <c r="CU229" s="73"/>
      <c r="CV229" s="73"/>
      <c r="CW229" s="73"/>
      <c r="CX229" s="73"/>
      <c r="CY229" s="73"/>
      <c r="CZ229" s="73"/>
      <c r="DA229" s="73"/>
      <c r="DB229" s="73"/>
      <c r="DC229" s="73"/>
      <c r="DD229" s="73"/>
      <c r="DE229" s="73"/>
      <c r="DF229" s="73"/>
      <c r="DG229" s="73"/>
      <c r="DH229" s="73"/>
      <c r="DI229" s="73"/>
      <c r="DJ229" s="73"/>
      <c r="DK229" s="73"/>
      <c r="DL229" s="73"/>
      <c r="DM229" s="73"/>
      <c r="DN229" s="73"/>
      <c r="DO229" s="73"/>
      <c r="DP229" s="73"/>
      <c r="DQ229" s="73"/>
      <c r="DR229" s="73"/>
      <c r="DS229" s="73"/>
      <c r="DT229" s="73"/>
      <c r="DU229" s="74"/>
      <c r="DV229" s="74"/>
      <c r="DW229" s="72"/>
      <c r="DX229" s="72"/>
      <c r="DY229" s="72"/>
      <c r="DZ229" s="101"/>
      <c r="EA229" s="82"/>
    </row>
    <row r="230" ht="21.75" customHeight="1">
      <c r="A230" s="64"/>
      <c r="B230" s="92"/>
      <c r="C230" s="72"/>
      <c r="D230" s="71"/>
      <c r="E230" s="71"/>
      <c r="F230" s="78" t="s">
        <v>53</v>
      </c>
      <c r="G230" s="73"/>
      <c r="H230" s="73"/>
      <c r="I230" s="73"/>
      <c r="J230" s="73"/>
      <c r="K230" s="73"/>
      <c r="L230" s="73"/>
      <c r="M230" s="79">
        <f t="shared" si="1181"/>
        <v>0</v>
      </c>
      <c r="N230" s="79">
        <v>0.0</v>
      </c>
      <c r="O230" s="79">
        <v>0.0</v>
      </c>
      <c r="P230" s="79"/>
      <c r="Q230" s="79"/>
      <c r="R230" s="79"/>
      <c r="S230" s="79">
        <f t="shared" ref="S230:S231" si="1185">T230+U230</f>
        <v>0</v>
      </c>
      <c r="T230" s="79">
        <v>0.0</v>
      </c>
      <c r="U230" s="79">
        <v>0.0</v>
      </c>
      <c r="V230" s="79"/>
      <c r="W230" s="79"/>
      <c r="X230" s="79"/>
      <c r="Y230" s="79">
        <f t="shared" ref="Y230:Y231" si="1186">Z230+AA230</f>
        <v>491151</v>
      </c>
      <c r="Z230" s="79">
        <v>0.0</v>
      </c>
      <c r="AA230" s="79">
        <v>491151.0</v>
      </c>
      <c r="AB230" s="79"/>
      <c r="AC230" s="79"/>
      <c r="AD230" s="79"/>
      <c r="AE230" s="79">
        <f t="shared" ref="AE230:AG230" si="1182">M230+S230+Y230</f>
        <v>491151</v>
      </c>
      <c r="AF230" s="79">
        <f t="shared" si="1182"/>
        <v>0</v>
      </c>
      <c r="AG230" s="79">
        <f t="shared" si="1182"/>
        <v>491151</v>
      </c>
      <c r="AH230" s="73"/>
      <c r="AI230" s="73"/>
      <c r="AJ230" s="73"/>
      <c r="AK230" s="79">
        <f t="shared" ref="AK230:AK231" si="1188">AL230+AM230</f>
        <v>162624.6925</v>
      </c>
      <c r="AL230" s="79">
        <v>0.0</v>
      </c>
      <c r="AM230" s="79">
        <v>162624.69245</v>
      </c>
      <c r="AN230" s="73"/>
      <c r="AO230" s="73"/>
      <c r="AP230" s="73"/>
      <c r="AQ230" s="79">
        <f t="shared" ref="AQ230:AS230" si="1183">AE230+AK230</f>
        <v>653775.6925</v>
      </c>
      <c r="AR230" s="79">
        <f t="shared" si="1183"/>
        <v>0</v>
      </c>
      <c r="AS230" s="79">
        <f t="shared" si="1183"/>
        <v>653775.6925</v>
      </c>
      <c r="AT230" s="73"/>
      <c r="AU230" s="73"/>
      <c r="AV230" s="73"/>
      <c r="AW230" s="79">
        <v>0.0</v>
      </c>
      <c r="AX230" s="79">
        <v>0.0</v>
      </c>
      <c r="AY230" s="79">
        <v>0.0</v>
      </c>
      <c r="AZ230" s="88"/>
      <c r="BA230" s="88"/>
      <c r="BB230" s="88"/>
      <c r="BC230" s="79">
        <f t="shared" ref="BC230:BE230" si="1184">AQ230+AW230</f>
        <v>653775.6925</v>
      </c>
      <c r="BD230" s="79">
        <f t="shared" si="1184"/>
        <v>0</v>
      </c>
      <c r="BE230" s="79">
        <f t="shared" si="1184"/>
        <v>653775.6925</v>
      </c>
      <c r="BF230" s="88">
        <v>0.0</v>
      </c>
      <c r="BG230" s="88">
        <v>0.0</v>
      </c>
      <c r="BH230" s="88">
        <v>0.0</v>
      </c>
      <c r="BI230" s="88">
        <v>0.0</v>
      </c>
      <c r="BJ230" s="88">
        <v>0.0</v>
      </c>
      <c r="BK230" s="88">
        <v>0.0</v>
      </c>
      <c r="BL230" s="88">
        <v>0.0</v>
      </c>
      <c r="BM230" s="88">
        <v>0.0</v>
      </c>
      <c r="BN230" s="88">
        <v>0.0</v>
      </c>
      <c r="BO230" s="88">
        <v>0.0</v>
      </c>
      <c r="BP230" s="88">
        <v>0.0</v>
      </c>
      <c r="BQ230" s="88">
        <v>0.0</v>
      </c>
      <c r="BR230" s="88">
        <v>0.0</v>
      </c>
      <c r="BS230" s="88">
        <v>0.0</v>
      </c>
      <c r="BT230" s="88">
        <v>0.0</v>
      </c>
      <c r="BU230" s="88">
        <v>0.0</v>
      </c>
      <c r="BV230" s="88">
        <v>0.0</v>
      </c>
      <c r="BW230" s="88">
        <v>0.0</v>
      </c>
      <c r="BX230" s="88">
        <v>0.0</v>
      </c>
      <c r="BY230" s="88">
        <v>0.0</v>
      </c>
      <c r="BZ230" s="88">
        <v>0.0</v>
      </c>
      <c r="CA230" s="88">
        <v>0.0</v>
      </c>
      <c r="CB230" s="88">
        <v>0.0</v>
      </c>
      <c r="CC230" s="88">
        <v>0.0</v>
      </c>
      <c r="CD230" s="88">
        <v>0.0</v>
      </c>
      <c r="CE230" s="88">
        <v>0.0</v>
      </c>
      <c r="CF230" s="88">
        <v>0.0</v>
      </c>
      <c r="CG230" s="88">
        <v>0.0</v>
      </c>
      <c r="CH230" s="88">
        <v>0.0</v>
      </c>
      <c r="CI230" s="88">
        <v>0.0</v>
      </c>
      <c r="CJ230" s="88">
        <v>0.0</v>
      </c>
      <c r="CK230" s="88">
        <v>0.0</v>
      </c>
      <c r="CL230" s="88">
        <v>0.0</v>
      </c>
      <c r="CM230" s="88">
        <v>0.0</v>
      </c>
      <c r="CN230" s="88">
        <v>0.0</v>
      </c>
      <c r="CO230" s="88">
        <v>0.0</v>
      </c>
      <c r="CP230" s="88">
        <v>0.0</v>
      </c>
      <c r="CQ230" s="88">
        <v>0.0</v>
      </c>
      <c r="CR230" s="88">
        <v>0.0</v>
      </c>
      <c r="CS230" s="88">
        <v>0.0</v>
      </c>
      <c r="CT230" s="88">
        <v>0.0</v>
      </c>
      <c r="CU230" s="88">
        <v>0.0</v>
      </c>
      <c r="CV230" s="88">
        <v>0.0</v>
      </c>
      <c r="CW230" s="88">
        <v>0.0</v>
      </c>
      <c r="CX230" s="88">
        <v>0.0</v>
      </c>
      <c r="CY230" s="88">
        <v>0.0</v>
      </c>
      <c r="CZ230" s="88">
        <v>0.0</v>
      </c>
      <c r="DA230" s="88">
        <v>0.0</v>
      </c>
      <c r="DB230" s="88">
        <v>0.0</v>
      </c>
      <c r="DC230" s="88">
        <v>0.0</v>
      </c>
      <c r="DD230" s="88">
        <v>0.0</v>
      </c>
      <c r="DE230" s="88">
        <v>0.0</v>
      </c>
      <c r="DF230" s="88">
        <v>0.0</v>
      </c>
      <c r="DG230" s="88">
        <v>0.0</v>
      </c>
      <c r="DH230" s="88">
        <v>0.0</v>
      </c>
      <c r="DI230" s="88">
        <v>0.0</v>
      </c>
      <c r="DJ230" s="88">
        <v>0.0</v>
      </c>
      <c r="DK230" s="88">
        <v>0.0</v>
      </c>
      <c r="DL230" s="88">
        <v>0.0</v>
      </c>
      <c r="DM230" s="88">
        <v>0.0</v>
      </c>
      <c r="DN230" s="88">
        <v>0.0</v>
      </c>
      <c r="DO230" s="88">
        <v>0.0</v>
      </c>
      <c r="DP230" s="88">
        <v>0.0</v>
      </c>
      <c r="DQ230" s="88">
        <v>0.0</v>
      </c>
      <c r="DR230" s="88">
        <v>0.0</v>
      </c>
      <c r="DS230" s="88">
        <v>0.0</v>
      </c>
      <c r="DT230" s="88">
        <v>0.0</v>
      </c>
      <c r="DU230" s="89">
        <v>0.0</v>
      </c>
      <c r="DV230" s="89">
        <v>0.0</v>
      </c>
      <c r="DW230" s="89">
        <v>0.0</v>
      </c>
      <c r="DX230" s="89">
        <v>0.0</v>
      </c>
      <c r="DY230" s="89">
        <v>0.0</v>
      </c>
      <c r="DZ230" s="74"/>
      <c r="EA230" s="76" t="s">
        <v>171</v>
      </c>
    </row>
    <row r="231" ht="21.75" customHeight="1">
      <c r="A231" s="64"/>
      <c r="B231" s="92"/>
      <c r="C231" s="72"/>
      <c r="D231" s="71"/>
      <c r="E231" s="71"/>
      <c r="F231" s="78" t="s">
        <v>55</v>
      </c>
      <c r="G231" s="73"/>
      <c r="H231" s="73"/>
      <c r="I231" s="73"/>
      <c r="J231" s="73"/>
      <c r="K231" s="73"/>
      <c r="L231" s="73"/>
      <c r="M231" s="79">
        <f t="shared" si="1181"/>
        <v>0</v>
      </c>
      <c r="N231" s="79">
        <v>0.0</v>
      </c>
      <c r="O231" s="79">
        <v>0.0</v>
      </c>
      <c r="P231" s="79"/>
      <c r="Q231" s="79"/>
      <c r="R231" s="79"/>
      <c r="S231" s="79">
        <f t="shared" si="1185"/>
        <v>0</v>
      </c>
      <c r="T231" s="79">
        <v>0.0</v>
      </c>
      <c r="U231" s="79">
        <v>0.0</v>
      </c>
      <c r="V231" s="79"/>
      <c r="W231" s="79"/>
      <c r="X231" s="79"/>
      <c r="Y231" s="79">
        <f t="shared" si="1186"/>
        <v>0</v>
      </c>
      <c r="Z231" s="79">
        <v>0.0</v>
      </c>
      <c r="AA231" s="79">
        <v>0.0</v>
      </c>
      <c r="AB231" s="79"/>
      <c r="AC231" s="79"/>
      <c r="AD231" s="79"/>
      <c r="AE231" s="79">
        <f t="shared" ref="AE231:AG231" si="1187">M231+S231+Y231</f>
        <v>0</v>
      </c>
      <c r="AF231" s="79">
        <f t="shared" si="1187"/>
        <v>0</v>
      </c>
      <c r="AG231" s="79">
        <f t="shared" si="1187"/>
        <v>0</v>
      </c>
      <c r="AH231" s="73"/>
      <c r="AI231" s="73"/>
      <c r="AJ231" s="73"/>
      <c r="AK231" s="79">
        <f t="shared" si="1188"/>
        <v>0</v>
      </c>
      <c r="AL231" s="79">
        <v>0.0</v>
      </c>
      <c r="AM231" s="79">
        <v>0.0</v>
      </c>
      <c r="AN231" s="73"/>
      <c r="AO231" s="73"/>
      <c r="AP231" s="73"/>
      <c r="AQ231" s="79">
        <f t="shared" ref="AQ231:AS231" si="1189">AE231+AK231</f>
        <v>0</v>
      </c>
      <c r="AR231" s="79">
        <f t="shared" si="1189"/>
        <v>0</v>
      </c>
      <c r="AS231" s="79">
        <f t="shared" si="1189"/>
        <v>0</v>
      </c>
      <c r="AT231" s="73"/>
      <c r="AU231" s="73"/>
      <c r="AV231" s="73"/>
      <c r="AW231" s="79">
        <v>16845.19584</v>
      </c>
      <c r="AX231" s="79">
        <v>0.0</v>
      </c>
      <c r="AY231" s="79">
        <v>16845.19584</v>
      </c>
      <c r="AZ231" s="88"/>
      <c r="BA231" s="88"/>
      <c r="BB231" s="88"/>
      <c r="BC231" s="79">
        <f t="shared" ref="BC231:BE231" si="1190">AQ231+AW231</f>
        <v>16845.19584</v>
      </c>
      <c r="BD231" s="79">
        <f t="shared" si="1190"/>
        <v>0</v>
      </c>
      <c r="BE231" s="79">
        <f t="shared" si="1190"/>
        <v>16845.19584</v>
      </c>
      <c r="BF231" s="88">
        <v>0.0</v>
      </c>
      <c r="BG231" s="88">
        <v>0.0</v>
      </c>
      <c r="BH231" s="88">
        <v>0.0</v>
      </c>
      <c r="BI231" s="88">
        <v>0.0</v>
      </c>
      <c r="BJ231" s="88">
        <v>0.0</v>
      </c>
      <c r="BK231" s="88">
        <v>0.0</v>
      </c>
      <c r="BL231" s="88">
        <v>0.0</v>
      </c>
      <c r="BM231" s="88">
        <v>0.0</v>
      </c>
      <c r="BN231" s="88">
        <v>0.0</v>
      </c>
      <c r="BO231" s="88">
        <v>0.0</v>
      </c>
      <c r="BP231" s="88">
        <v>0.0</v>
      </c>
      <c r="BQ231" s="88">
        <v>0.0</v>
      </c>
      <c r="BR231" s="88">
        <v>0.0</v>
      </c>
      <c r="BS231" s="88">
        <v>0.0</v>
      </c>
      <c r="BT231" s="88">
        <v>0.0</v>
      </c>
      <c r="BU231" s="88">
        <v>0.0</v>
      </c>
      <c r="BV231" s="88">
        <v>0.0</v>
      </c>
      <c r="BW231" s="88">
        <v>0.0</v>
      </c>
      <c r="BX231" s="88">
        <v>0.0</v>
      </c>
      <c r="BY231" s="88">
        <v>0.0</v>
      </c>
      <c r="BZ231" s="88">
        <v>0.0</v>
      </c>
      <c r="CA231" s="88">
        <v>0.0</v>
      </c>
      <c r="CB231" s="88">
        <v>0.0</v>
      </c>
      <c r="CC231" s="88">
        <v>0.0</v>
      </c>
      <c r="CD231" s="88">
        <v>0.0</v>
      </c>
      <c r="CE231" s="88">
        <v>0.0</v>
      </c>
      <c r="CF231" s="88">
        <v>0.0</v>
      </c>
      <c r="CG231" s="88">
        <v>0.0</v>
      </c>
      <c r="CH231" s="88">
        <v>0.0</v>
      </c>
      <c r="CI231" s="88">
        <v>0.0</v>
      </c>
      <c r="CJ231" s="88">
        <v>0.0</v>
      </c>
      <c r="CK231" s="88">
        <v>0.0</v>
      </c>
      <c r="CL231" s="88">
        <v>0.0</v>
      </c>
      <c r="CM231" s="88">
        <v>0.0</v>
      </c>
      <c r="CN231" s="88">
        <v>0.0</v>
      </c>
      <c r="CO231" s="88">
        <v>0.0</v>
      </c>
      <c r="CP231" s="88">
        <v>0.0</v>
      </c>
      <c r="CQ231" s="88">
        <v>0.0</v>
      </c>
      <c r="CR231" s="88">
        <v>0.0</v>
      </c>
      <c r="CS231" s="88">
        <v>0.0</v>
      </c>
      <c r="CT231" s="88">
        <v>0.0</v>
      </c>
      <c r="CU231" s="88">
        <v>0.0</v>
      </c>
      <c r="CV231" s="88">
        <v>0.0</v>
      </c>
      <c r="CW231" s="88">
        <v>0.0</v>
      </c>
      <c r="CX231" s="88">
        <v>0.0</v>
      </c>
      <c r="CY231" s="88">
        <v>0.0</v>
      </c>
      <c r="CZ231" s="88">
        <v>0.0</v>
      </c>
      <c r="DA231" s="88">
        <v>0.0</v>
      </c>
      <c r="DB231" s="88">
        <v>0.0</v>
      </c>
      <c r="DC231" s="88">
        <v>0.0</v>
      </c>
      <c r="DD231" s="88">
        <v>0.0</v>
      </c>
      <c r="DE231" s="88">
        <v>0.0</v>
      </c>
      <c r="DF231" s="88">
        <v>0.0</v>
      </c>
      <c r="DG231" s="88">
        <v>0.0</v>
      </c>
      <c r="DH231" s="88">
        <v>0.0</v>
      </c>
      <c r="DI231" s="88">
        <v>0.0</v>
      </c>
      <c r="DJ231" s="88">
        <v>0.0</v>
      </c>
      <c r="DK231" s="88">
        <v>0.0</v>
      </c>
      <c r="DL231" s="88">
        <v>0.0</v>
      </c>
      <c r="DM231" s="88">
        <v>0.0</v>
      </c>
      <c r="DN231" s="88">
        <v>0.0</v>
      </c>
      <c r="DO231" s="88">
        <v>0.0</v>
      </c>
      <c r="DP231" s="88">
        <v>0.0</v>
      </c>
      <c r="DQ231" s="88">
        <v>0.0</v>
      </c>
      <c r="DR231" s="88">
        <v>0.0</v>
      </c>
      <c r="DS231" s="88">
        <v>0.0</v>
      </c>
      <c r="DT231" s="88">
        <v>0.0</v>
      </c>
      <c r="DU231" s="89">
        <v>0.0</v>
      </c>
      <c r="DV231" s="89">
        <v>0.0</v>
      </c>
      <c r="DW231" s="89">
        <v>0.0</v>
      </c>
      <c r="DX231" s="89">
        <v>0.0</v>
      </c>
      <c r="DY231" s="89">
        <v>0.0</v>
      </c>
      <c r="DZ231" s="74"/>
      <c r="EA231" s="76" t="s">
        <v>172</v>
      </c>
    </row>
    <row r="232" ht="21.75" customHeight="1">
      <c r="A232" s="64" t="s">
        <v>134</v>
      </c>
      <c r="B232" s="70" t="s">
        <v>40</v>
      </c>
      <c r="C232" s="71" t="s">
        <v>173</v>
      </c>
      <c r="D232" s="71" t="s">
        <v>41</v>
      </c>
      <c r="E232" s="71" t="s">
        <v>64</v>
      </c>
      <c r="F232" s="72" t="s">
        <v>174</v>
      </c>
      <c r="G232" s="73">
        <f t="shared" ref="G232:U232" si="1191">G233+G234+G235</f>
        <v>37527281</v>
      </c>
      <c r="H232" s="73">
        <f t="shared" si="1191"/>
        <v>36809198</v>
      </c>
      <c r="I232" s="73">
        <f t="shared" si="1191"/>
        <v>718083</v>
      </c>
      <c r="J232" s="73">
        <f t="shared" si="1191"/>
        <v>0</v>
      </c>
      <c r="K232" s="73">
        <f t="shared" si="1191"/>
        <v>0</v>
      </c>
      <c r="L232" s="73">
        <f t="shared" si="1191"/>
        <v>0</v>
      </c>
      <c r="M232" s="73">
        <f t="shared" si="1191"/>
        <v>0</v>
      </c>
      <c r="N232" s="73">
        <f t="shared" si="1191"/>
        <v>0</v>
      </c>
      <c r="O232" s="73">
        <f t="shared" si="1191"/>
        <v>0</v>
      </c>
      <c r="P232" s="73">
        <f t="shared" si="1191"/>
        <v>0</v>
      </c>
      <c r="Q232" s="73">
        <f t="shared" si="1191"/>
        <v>0</v>
      </c>
      <c r="R232" s="73">
        <f t="shared" si="1191"/>
        <v>0</v>
      </c>
      <c r="S232" s="73">
        <f t="shared" si="1191"/>
        <v>254559</v>
      </c>
      <c r="T232" s="73">
        <f t="shared" si="1191"/>
        <v>254559</v>
      </c>
      <c r="U232" s="73">
        <f t="shared" si="1191"/>
        <v>0</v>
      </c>
      <c r="V232" s="73">
        <v>1004549.0</v>
      </c>
      <c r="W232" s="73">
        <v>0.0</v>
      </c>
      <c r="X232" s="73">
        <v>1004549.0</v>
      </c>
      <c r="Y232" s="73">
        <f t="shared" ref="Y232:AA232" si="1192">Y233+Y234+Y235</f>
        <v>8294312.37</v>
      </c>
      <c r="Z232" s="73">
        <f t="shared" si="1192"/>
        <v>8294312.37</v>
      </c>
      <c r="AA232" s="73">
        <f t="shared" si="1192"/>
        <v>0</v>
      </c>
      <c r="AB232" s="73">
        <f t="shared" ref="AB232:AG232" si="1193">J232+P232+V232</f>
        <v>1004549</v>
      </c>
      <c r="AC232" s="73">
        <f t="shared" si="1193"/>
        <v>0</v>
      </c>
      <c r="AD232" s="73">
        <f t="shared" si="1193"/>
        <v>1004549</v>
      </c>
      <c r="AE232" s="73">
        <f t="shared" si="1193"/>
        <v>8548871.37</v>
      </c>
      <c r="AF232" s="73">
        <f t="shared" si="1193"/>
        <v>8548871.37</v>
      </c>
      <c r="AG232" s="73">
        <f t="shared" si="1193"/>
        <v>0</v>
      </c>
      <c r="AH232" s="73">
        <v>2353158.0</v>
      </c>
      <c r="AI232" s="73">
        <v>2350064.0</v>
      </c>
      <c r="AJ232" s="73">
        <v>3094.0</v>
      </c>
      <c r="AK232" s="73">
        <f t="shared" ref="AK232:AM232" si="1194">AK233+AK234+AK235</f>
        <v>4879865.601</v>
      </c>
      <c r="AL232" s="73">
        <f t="shared" si="1194"/>
        <v>4879865.601</v>
      </c>
      <c r="AM232" s="73">
        <f t="shared" si="1194"/>
        <v>0</v>
      </c>
      <c r="AN232" s="73">
        <f t="shared" ref="AN232:AS232" si="1195">AB232+AH232</f>
        <v>3357707</v>
      </c>
      <c r="AO232" s="73">
        <f t="shared" si="1195"/>
        <v>2350064</v>
      </c>
      <c r="AP232" s="73">
        <f t="shared" si="1195"/>
        <v>1007643</v>
      </c>
      <c r="AQ232" s="73">
        <f t="shared" si="1195"/>
        <v>13428736.97</v>
      </c>
      <c r="AR232" s="73">
        <f t="shared" si="1195"/>
        <v>13428736.97</v>
      </c>
      <c r="AS232" s="73">
        <f t="shared" si="1195"/>
        <v>0</v>
      </c>
      <c r="AT232" s="73">
        <v>3529736.3</v>
      </c>
      <c r="AU232" s="73">
        <v>3525096.3</v>
      </c>
      <c r="AV232" s="73">
        <v>4640.0</v>
      </c>
      <c r="AW232" s="73">
        <f t="shared" ref="AW232:AY232" si="1196">AW233+AW234+AW235</f>
        <v>1896221.361</v>
      </c>
      <c r="AX232" s="73">
        <f t="shared" si="1196"/>
        <v>1896221.361</v>
      </c>
      <c r="AY232" s="73">
        <f t="shared" si="1196"/>
        <v>0</v>
      </c>
      <c r="AZ232" s="73">
        <f t="shared" ref="AZ232:BE232" si="1197">AN232+AT232</f>
        <v>6887443.3</v>
      </c>
      <c r="BA232" s="73">
        <f t="shared" si="1197"/>
        <v>5875160.3</v>
      </c>
      <c r="BB232" s="73">
        <f t="shared" si="1197"/>
        <v>1012283</v>
      </c>
      <c r="BC232" s="73">
        <f t="shared" si="1197"/>
        <v>15324958.33</v>
      </c>
      <c r="BD232" s="73">
        <f t="shared" si="1197"/>
        <v>15324958.33</v>
      </c>
      <c r="BE232" s="73">
        <f t="shared" si="1197"/>
        <v>0</v>
      </c>
      <c r="BF232" s="73">
        <f t="shared" ref="BF232:DY232" si="1198">BF233+BF234+BF235</f>
        <v>0</v>
      </c>
      <c r="BG232" s="73">
        <f t="shared" si="1198"/>
        <v>0</v>
      </c>
      <c r="BH232" s="73">
        <f t="shared" si="1198"/>
        <v>0</v>
      </c>
      <c r="BI232" s="73">
        <f t="shared" si="1198"/>
        <v>15316815.63</v>
      </c>
      <c r="BJ232" s="73">
        <f t="shared" si="1198"/>
        <v>15316815.63</v>
      </c>
      <c r="BK232" s="73">
        <f t="shared" si="1198"/>
        <v>0</v>
      </c>
      <c r="BL232" s="73">
        <f t="shared" si="1198"/>
        <v>0</v>
      </c>
      <c r="BM232" s="73">
        <f t="shared" si="1198"/>
        <v>0</v>
      </c>
      <c r="BN232" s="73">
        <f t="shared" si="1198"/>
        <v>0</v>
      </c>
      <c r="BO232" s="73">
        <f t="shared" si="1198"/>
        <v>22084759.89</v>
      </c>
      <c r="BP232" s="73">
        <f t="shared" si="1198"/>
        <v>22084759.89</v>
      </c>
      <c r="BQ232" s="73">
        <f t="shared" si="1198"/>
        <v>0</v>
      </c>
      <c r="BR232" s="73">
        <f t="shared" si="1198"/>
        <v>0</v>
      </c>
      <c r="BS232" s="73">
        <f t="shared" si="1198"/>
        <v>0</v>
      </c>
      <c r="BT232" s="73">
        <f t="shared" si="1198"/>
        <v>0</v>
      </c>
      <c r="BU232" s="73">
        <f t="shared" si="1198"/>
        <v>39289654.17</v>
      </c>
      <c r="BV232" s="73">
        <f t="shared" si="1198"/>
        <v>39289654.17</v>
      </c>
      <c r="BW232" s="73">
        <f t="shared" si="1198"/>
        <v>0</v>
      </c>
      <c r="BX232" s="73">
        <f t="shared" si="1198"/>
        <v>0</v>
      </c>
      <c r="BY232" s="73">
        <f t="shared" si="1198"/>
        <v>0</v>
      </c>
      <c r="BZ232" s="73">
        <f t="shared" si="1198"/>
        <v>0</v>
      </c>
      <c r="CA232" s="73">
        <f t="shared" si="1198"/>
        <v>76691229.68</v>
      </c>
      <c r="CB232" s="73">
        <f t="shared" si="1198"/>
        <v>76691229.68</v>
      </c>
      <c r="CC232" s="73">
        <f t="shared" si="1198"/>
        <v>0</v>
      </c>
      <c r="CD232" s="73">
        <f t="shared" si="1198"/>
        <v>0</v>
      </c>
      <c r="CE232" s="73">
        <f t="shared" si="1198"/>
        <v>0</v>
      </c>
      <c r="CF232" s="73">
        <f t="shared" si="1198"/>
        <v>0</v>
      </c>
      <c r="CG232" s="73">
        <f t="shared" si="1198"/>
        <v>138065643.7</v>
      </c>
      <c r="CH232" s="73">
        <f t="shared" si="1198"/>
        <v>138065643.7</v>
      </c>
      <c r="CI232" s="73">
        <f t="shared" si="1198"/>
        <v>0</v>
      </c>
      <c r="CJ232" s="73">
        <f t="shared" si="1198"/>
        <v>0</v>
      </c>
      <c r="CK232" s="73">
        <f t="shared" si="1198"/>
        <v>0</v>
      </c>
      <c r="CL232" s="73">
        <f t="shared" si="1198"/>
        <v>0</v>
      </c>
      <c r="CM232" s="73">
        <f t="shared" si="1198"/>
        <v>254046527.6</v>
      </c>
      <c r="CN232" s="73">
        <f t="shared" si="1198"/>
        <v>254046527.6</v>
      </c>
      <c r="CO232" s="73">
        <f t="shared" si="1198"/>
        <v>0</v>
      </c>
      <c r="CP232" s="73">
        <f t="shared" si="1198"/>
        <v>0</v>
      </c>
      <c r="CQ232" s="73">
        <f t="shared" si="1198"/>
        <v>0</v>
      </c>
      <c r="CR232" s="73">
        <f t="shared" si="1198"/>
        <v>0</v>
      </c>
      <c r="CS232" s="73">
        <f t="shared" si="1198"/>
        <v>468803401</v>
      </c>
      <c r="CT232" s="73">
        <f t="shared" si="1198"/>
        <v>468803401</v>
      </c>
      <c r="CU232" s="73">
        <f t="shared" si="1198"/>
        <v>0</v>
      </c>
      <c r="CV232" s="73">
        <f t="shared" si="1198"/>
        <v>0</v>
      </c>
      <c r="CW232" s="73">
        <f t="shared" si="1198"/>
        <v>0</v>
      </c>
      <c r="CX232" s="73">
        <f t="shared" si="1198"/>
        <v>0</v>
      </c>
      <c r="CY232" s="73">
        <f t="shared" si="1198"/>
        <v>860915572.4</v>
      </c>
      <c r="CZ232" s="73">
        <f t="shared" si="1198"/>
        <v>860915572.4</v>
      </c>
      <c r="DA232" s="73">
        <f t="shared" si="1198"/>
        <v>0</v>
      </c>
      <c r="DB232" s="73">
        <f t="shared" si="1198"/>
        <v>0</v>
      </c>
      <c r="DC232" s="73">
        <f t="shared" si="1198"/>
        <v>0</v>
      </c>
      <c r="DD232" s="73">
        <f t="shared" si="1198"/>
        <v>0</v>
      </c>
      <c r="DE232" s="73">
        <f t="shared" si="1198"/>
        <v>1583765501</v>
      </c>
      <c r="DF232" s="73">
        <f t="shared" si="1198"/>
        <v>1583765501</v>
      </c>
      <c r="DG232" s="73">
        <f t="shared" si="1198"/>
        <v>0</v>
      </c>
      <c r="DH232" s="73">
        <f t="shared" si="1198"/>
        <v>0</v>
      </c>
      <c r="DI232" s="73">
        <f t="shared" si="1198"/>
        <v>0</v>
      </c>
      <c r="DJ232" s="73">
        <f t="shared" si="1198"/>
        <v>0</v>
      </c>
      <c r="DK232" s="73">
        <f t="shared" si="1198"/>
        <v>2913484474</v>
      </c>
      <c r="DL232" s="73">
        <f t="shared" si="1198"/>
        <v>2913484474</v>
      </c>
      <c r="DM232" s="73">
        <f t="shared" si="1198"/>
        <v>0</v>
      </c>
      <c r="DN232" s="73">
        <f t="shared" si="1198"/>
        <v>0</v>
      </c>
      <c r="DO232" s="73">
        <f t="shared" si="1198"/>
        <v>0</v>
      </c>
      <c r="DP232" s="73">
        <f t="shared" si="1198"/>
        <v>0</v>
      </c>
      <c r="DQ232" s="73">
        <f t="shared" si="1198"/>
        <v>5358165548</v>
      </c>
      <c r="DR232" s="73">
        <f t="shared" si="1198"/>
        <v>5358165548</v>
      </c>
      <c r="DS232" s="73">
        <f t="shared" si="1198"/>
        <v>0</v>
      </c>
      <c r="DT232" s="73">
        <f t="shared" si="1198"/>
        <v>0</v>
      </c>
      <c r="DU232" s="74">
        <f t="shared" si="1198"/>
        <v>0</v>
      </c>
      <c r="DV232" s="74">
        <f t="shared" si="1198"/>
        <v>0</v>
      </c>
      <c r="DW232" s="74">
        <f t="shared" si="1198"/>
        <v>9855415523</v>
      </c>
      <c r="DX232" s="74">
        <f t="shared" si="1198"/>
        <v>9855415523</v>
      </c>
      <c r="DY232" s="74">
        <f t="shared" si="1198"/>
        <v>0</v>
      </c>
      <c r="DZ232" s="74"/>
      <c r="EA232" s="102"/>
    </row>
    <row r="233" ht="21.75" customHeight="1">
      <c r="A233" s="64"/>
      <c r="B233" s="70"/>
      <c r="C233" s="71"/>
      <c r="D233" s="71"/>
      <c r="E233" s="71"/>
      <c r="F233" s="78" t="s">
        <v>53</v>
      </c>
      <c r="G233" s="73">
        <v>3.5509161E7</v>
      </c>
      <c r="H233" s="73">
        <v>3.5509161E7</v>
      </c>
      <c r="I233" s="73">
        <v>0.0</v>
      </c>
      <c r="J233" s="73"/>
      <c r="K233" s="73"/>
      <c r="L233" s="73"/>
      <c r="M233" s="73">
        <f t="shared" ref="M233:M235" si="1206">N233+O233</f>
        <v>0</v>
      </c>
      <c r="N233" s="73">
        <v>0.0</v>
      </c>
      <c r="O233" s="73">
        <v>0.0</v>
      </c>
      <c r="P233" s="73"/>
      <c r="Q233" s="73"/>
      <c r="R233" s="73"/>
      <c r="S233" s="73">
        <f t="shared" ref="S233:S235" si="1207">T233+U233</f>
        <v>254559</v>
      </c>
      <c r="T233" s="73">
        <v>254559.0</v>
      </c>
      <c r="U233" s="73">
        <v>0.0</v>
      </c>
      <c r="V233" s="73"/>
      <c r="W233" s="73"/>
      <c r="X233" s="73"/>
      <c r="Y233" s="73">
        <f t="shared" ref="Y233:Y235" si="1208">Z233+AA233</f>
        <v>8294312.37</v>
      </c>
      <c r="Z233" s="73">
        <v>8294312.36992</v>
      </c>
      <c r="AA233" s="73">
        <v>0.0</v>
      </c>
      <c r="AB233" s="73"/>
      <c r="AC233" s="73"/>
      <c r="AD233" s="73"/>
      <c r="AE233" s="73">
        <f t="shared" ref="AE233:AG233" si="1199">M233+S233+Y233</f>
        <v>8548871.37</v>
      </c>
      <c r="AF233" s="73">
        <f t="shared" si="1199"/>
        <v>8548871.37</v>
      </c>
      <c r="AG233" s="73">
        <f t="shared" si="1199"/>
        <v>0</v>
      </c>
      <c r="AH233" s="73"/>
      <c r="AI233" s="73"/>
      <c r="AJ233" s="73"/>
      <c r="AK233" s="73">
        <f>AL233+AM233</f>
        <v>4879865.601</v>
      </c>
      <c r="AL233" s="73">
        <v>4879865.60063</v>
      </c>
      <c r="AM233" s="73">
        <v>0.0</v>
      </c>
      <c r="AN233" s="73"/>
      <c r="AO233" s="73"/>
      <c r="AP233" s="73"/>
      <c r="AQ233" s="73">
        <f t="shared" ref="AQ233:AS233" si="1200">AE233+AK233</f>
        <v>13428736.97</v>
      </c>
      <c r="AR233" s="73">
        <f t="shared" si="1200"/>
        <v>13428736.97</v>
      </c>
      <c r="AS233" s="73">
        <f t="shared" si="1200"/>
        <v>0</v>
      </c>
      <c r="AT233" s="73"/>
      <c r="AU233" s="73"/>
      <c r="AV233" s="73"/>
      <c r="AW233" s="73">
        <f t="shared" ref="AW233:AW235" si="1212">AX233+AY233</f>
        <v>1716089.76</v>
      </c>
      <c r="AX233" s="73">
        <f>1716089.76</f>
        <v>1716089.76</v>
      </c>
      <c r="AY233" s="73">
        <f t="shared" ref="AY233:AY234" si="1213">AA233+AG233+AM233</f>
        <v>0</v>
      </c>
      <c r="AZ233" s="73"/>
      <c r="BA233" s="73"/>
      <c r="BB233" s="73"/>
      <c r="BC233" s="73">
        <f t="shared" ref="BC233:BE233" si="1201">AQ233+AW233</f>
        <v>15144826.73</v>
      </c>
      <c r="BD233" s="73">
        <f t="shared" si="1201"/>
        <v>15144826.73</v>
      </c>
      <c r="BE233" s="73">
        <f t="shared" si="1201"/>
        <v>0</v>
      </c>
      <c r="BF233" s="73">
        <f t="shared" ref="BF233:BK233" si="1202">AB233+AH233+AT233</f>
        <v>0</v>
      </c>
      <c r="BG233" s="73">
        <f t="shared" si="1202"/>
        <v>0</v>
      </c>
      <c r="BH233" s="73">
        <f t="shared" si="1202"/>
        <v>0</v>
      </c>
      <c r="BI233" s="73">
        <f t="shared" si="1202"/>
        <v>15144826.73</v>
      </c>
      <c r="BJ233" s="73">
        <f t="shared" si="1202"/>
        <v>15144826.73</v>
      </c>
      <c r="BK233" s="73">
        <f t="shared" si="1202"/>
        <v>0</v>
      </c>
      <c r="BL233" s="73">
        <f t="shared" ref="BL233:BQ233" si="1203">AH233+AT233+BF233</f>
        <v>0</v>
      </c>
      <c r="BM233" s="73">
        <f t="shared" si="1203"/>
        <v>0</v>
      </c>
      <c r="BN233" s="73">
        <f t="shared" si="1203"/>
        <v>0</v>
      </c>
      <c r="BO233" s="73">
        <f t="shared" si="1203"/>
        <v>21740782.09</v>
      </c>
      <c r="BP233" s="73">
        <f t="shared" si="1203"/>
        <v>21740782.09</v>
      </c>
      <c r="BQ233" s="73">
        <f t="shared" si="1203"/>
        <v>0</v>
      </c>
      <c r="BR233" s="73">
        <f t="shared" ref="BR233:BW233" si="1204">AT233+BF233+BL233</f>
        <v>0</v>
      </c>
      <c r="BS233" s="73">
        <f t="shared" si="1204"/>
        <v>0</v>
      </c>
      <c r="BT233" s="73">
        <f t="shared" si="1204"/>
        <v>0</v>
      </c>
      <c r="BU233" s="73">
        <f t="shared" si="1204"/>
        <v>38601698.58</v>
      </c>
      <c r="BV233" s="73">
        <f t="shared" si="1204"/>
        <v>38601698.58</v>
      </c>
      <c r="BW233" s="73">
        <f t="shared" si="1204"/>
        <v>0</v>
      </c>
      <c r="BX233" s="73">
        <f t="shared" ref="BX233:DY233" si="1205">BF233+BL233+BR233</f>
        <v>0</v>
      </c>
      <c r="BY233" s="73">
        <f t="shared" si="1205"/>
        <v>0</v>
      </c>
      <c r="BZ233" s="73">
        <f t="shared" si="1205"/>
        <v>0</v>
      </c>
      <c r="CA233" s="73">
        <f t="shared" si="1205"/>
        <v>75487307.4</v>
      </c>
      <c r="CB233" s="73">
        <f t="shared" si="1205"/>
        <v>75487307.4</v>
      </c>
      <c r="CC233" s="73">
        <f t="shared" si="1205"/>
        <v>0</v>
      </c>
      <c r="CD233" s="73">
        <f t="shared" si="1205"/>
        <v>0</v>
      </c>
      <c r="CE233" s="73">
        <f t="shared" si="1205"/>
        <v>0</v>
      </c>
      <c r="CF233" s="73">
        <f t="shared" si="1205"/>
        <v>0</v>
      </c>
      <c r="CG233" s="73">
        <f t="shared" si="1205"/>
        <v>135829788.1</v>
      </c>
      <c r="CH233" s="73">
        <f t="shared" si="1205"/>
        <v>135829788.1</v>
      </c>
      <c r="CI233" s="73">
        <f t="shared" si="1205"/>
        <v>0</v>
      </c>
      <c r="CJ233" s="73">
        <f t="shared" si="1205"/>
        <v>0</v>
      </c>
      <c r="CK233" s="73">
        <f t="shared" si="1205"/>
        <v>0</v>
      </c>
      <c r="CL233" s="73">
        <f t="shared" si="1205"/>
        <v>0</v>
      </c>
      <c r="CM233" s="73">
        <f t="shared" si="1205"/>
        <v>249918794.1</v>
      </c>
      <c r="CN233" s="73">
        <f t="shared" si="1205"/>
        <v>249918794.1</v>
      </c>
      <c r="CO233" s="73">
        <f t="shared" si="1205"/>
        <v>0</v>
      </c>
      <c r="CP233" s="73">
        <f t="shared" si="1205"/>
        <v>0</v>
      </c>
      <c r="CQ233" s="73">
        <f t="shared" si="1205"/>
        <v>0</v>
      </c>
      <c r="CR233" s="73">
        <f t="shared" si="1205"/>
        <v>0</v>
      </c>
      <c r="CS233" s="73">
        <f t="shared" si="1205"/>
        <v>461235889.5</v>
      </c>
      <c r="CT233" s="73">
        <f t="shared" si="1205"/>
        <v>461235889.5</v>
      </c>
      <c r="CU233" s="73">
        <f t="shared" si="1205"/>
        <v>0</v>
      </c>
      <c r="CV233" s="73">
        <f t="shared" si="1205"/>
        <v>0</v>
      </c>
      <c r="CW233" s="73">
        <f t="shared" si="1205"/>
        <v>0</v>
      </c>
      <c r="CX233" s="73">
        <f t="shared" si="1205"/>
        <v>0</v>
      </c>
      <c r="CY233" s="73">
        <f t="shared" si="1205"/>
        <v>846984471.7</v>
      </c>
      <c r="CZ233" s="73">
        <f t="shared" si="1205"/>
        <v>846984471.7</v>
      </c>
      <c r="DA233" s="73">
        <f t="shared" si="1205"/>
        <v>0</v>
      </c>
      <c r="DB233" s="73">
        <f t="shared" si="1205"/>
        <v>0</v>
      </c>
      <c r="DC233" s="73">
        <f t="shared" si="1205"/>
        <v>0</v>
      </c>
      <c r="DD233" s="73">
        <f t="shared" si="1205"/>
        <v>0</v>
      </c>
      <c r="DE233" s="73">
        <f t="shared" si="1205"/>
        <v>1558139155</v>
      </c>
      <c r="DF233" s="73">
        <f t="shared" si="1205"/>
        <v>1558139155</v>
      </c>
      <c r="DG233" s="73">
        <f t="shared" si="1205"/>
        <v>0</v>
      </c>
      <c r="DH233" s="73">
        <f t="shared" si="1205"/>
        <v>0</v>
      </c>
      <c r="DI233" s="73">
        <f t="shared" si="1205"/>
        <v>0</v>
      </c>
      <c r="DJ233" s="73">
        <f t="shared" si="1205"/>
        <v>0</v>
      </c>
      <c r="DK233" s="73">
        <f t="shared" si="1205"/>
        <v>2866359517</v>
      </c>
      <c r="DL233" s="73">
        <f t="shared" si="1205"/>
        <v>2866359517</v>
      </c>
      <c r="DM233" s="73">
        <f t="shared" si="1205"/>
        <v>0</v>
      </c>
      <c r="DN233" s="73">
        <f t="shared" si="1205"/>
        <v>0</v>
      </c>
      <c r="DO233" s="73">
        <f t="shared" si="1205"/>
        <v>0</v>
      </c>
      <c r="DP233" s="73">
        <f t="shared" si="1205"/>
        <v>0</v>
      </c>
      <c r="DQ233" s="73">
        <f t="shared" si="1205"/>
        <v>5271483143</v>
      </c>
      <c r="DR233" s="73">
        <f t="shared" si="1205"/>
        <v>5271483143</v>
      </c>
      <c r="DS233" s="73">
        <f t="shared" si="1205"/>
        <v>0</v>
      </c>
      <c r="DT233" s="73">
        <f t="shared" si="1205"/>
        <v>0</v>
      </c>
      <c r="DU233" s="74">
        <f t="shared" si="1205"/>
        <v>0</v>
      </c>
      <c r="DV233" s="74">
        <f t="shared" si="1205"/>
        <v>0</v>
      </c>
      <c r="DW233" s="74">
        <f t="shared" si="1205"/>
        <v>9695981815</v>
      </c>
      <c r="DX233" s="74">
        <f t="shared" si="1205"/>
        <v>9695981815</v>
      </c>
      <c r="DY233" s="74">
        <f t="shared" si="1205"/>
        <v>0</v>
      </c>
      <c r="DZ233" s="75" t="s">
        <v>175</v>
      </c>
      <c r="EA233" s="82"/>
    </row>
    <row r="234" ht="21.75" customHeight="1">
      <c r="A234" s="64"/>
      <c r="B234" s="70"/>
      <c r="C234" s="71"/>
      <c r="D234" s="71"/>
      <c r="E234" s="71"/>
      <c r="F234" s="81" t="s">
        <v>55</v>
      </c>
      <c r="G234" s="73">
        <v>106649.0</v>
      </c>
      <c r="H234" s="73">
        <v>106649.0</v>
      </c>
      <c r="I234" s="73">
        <v>0.0</v>
      </c>
      <c r="J234" s="73"/>
      <c r="K234" s="73"/>
      <c r="L234" s="73"/>
      <c r="M234" s="73">
        <f t="shared" si="1206"/>
        <v>0</v>
      </c>
      <c r="N234" s="73">
        <v>0.0</v>
      </c>
      <c r="O234" s="73">
        <v>0.0</v>
      </c>
      <c r="P234" s="73"/>
      <c r="Q234" s="73"/>
      <c r="R234" s="73"/>
      <c r="S234" s="73">
        <f t="shared" si="1207"/>
        <v>0</v>
      </c>
      <c r="T234" s="73">
        <v>0.0</v>
      </c>
      <c r="U234" s="73">
        <v>0.0</v>
      </c>
      <c r="V234" s="73"/>
      <c r="W234" s="73"/>
      <c r="X234" s="73"/>
      <c r="Y234" s="73">
        <f t="shared" si="1208"/>
        <v>0</v>
      </c>
      <c r="Z234" s="73">
        <v>0.0</v>
      </c>
      <c r="AA234" s="73">
        <v>0.0</v>
      </c>
      <c r="AB234" s="73"/>
      <c r="AC234" s="73"/>
      <c r="AD234" s="73"/>
      <c r="AE234" s="73">
        <f t="shared" ref="AE234:AG234" si="1209">M234+S234+Y234</f>
        <v>0</v>
      </c>
      <c r="AF234" s="73">
        <f t="shared" si="1209"/>
        <v>0</v>
      </c>
      <c r="AG234" s="73">
        <f t="shared" si="1209"/>
        <v>0</v>
      </c>
      <c r="AH234" s="73"/>
      <c r="AI234" s="73"/>
      <c r="AJ234" s="73"/>
      <c r="AK234" s="73">
        <f t="shared" ref="AK234:AM234" si="1210">S234+Y234+AE234</f>
        <v>0</v>
      </c>
      <c r="AL234" s="73">
        <f t="shared" si="1210"/>
        <v>0</v>
      </c>
      <c r="AM234" s="73">
        <f t="shared" si="1210"/>
        <v>0</v>
      </c>
      <c r="AN234" s="73"/>
      <c r="AO234" s="73"/>
      <c r="AP234" s="73"/>
      <c r="AQ234" s="73">
        <f t="shared" ref="AQ234:AS234" si="1211">AE234+AK234</f>
        <v>0</v>
      </c>
      <c r="AR234" s="73">
        <f t="shared" si="1211"/>
        <v>0</v>
      </c>
      <c r="AS234" s="73">
        <f t="shared" si="1211"/>
        <v>0</v>
      </c>
      <c r="AT234" s="73"/>
      <c r="AU234" s="73"/>
      <c r="AV234" s="73"/>
      <c r="AW234" s="73">
        <f t="shared" si="1212"/>
        <v>171988.8972</v>
      </c>
      <c r="AX234" s="73">
        <f>61.872+80122.10789+64573.95296+27230.96434</f>
        <v>171988.8972</v>
      </c>
      <c r="AY234" s="73">
        <f t="shared" si="1213"/>
        <v>0</v>
      </c>
      <c r="AZ234" s="73"/>
      <c r="BA234" s="73"/>
      <c r="BB234" s="73"/>
      <c r="BC234" s="73">
        <f t="shared" ref="BC234:BE234" si="1214">AQ234+AW234</f>
        <v>171988.8972</v>
      </c>
      <c r="BD234" s="73">
        <f t="shared" si="1214"/>
        <v>171988.8972</v>
      </c>
      <c r="BE234" s="73">
        <f t="shared" si="1214"/>
        <v>0</v>
      </c>
      <c r="BF234" s="73">
        <f t="shared" ref="BF234:BK234" si="1215">AB234+AH234+AT234</f>
        <v>0</v>
      </c>
      <c r="BG234" s="73">
        <f t="shared" si="1215"/>
        <v>0</v>
      </c>
      <c r="BH234" s="73">
        <f t="shared" si="1215"/>
        <v>0</v>
      </c>
      <c r="BI234" s="73">
        <f t="shared" si="1215"/>
        <v>171988.8972</v>
      </c>
      <c r="BJ234" s="73">
        <f t="shared" si="1215"/>
        <v>171988.8972</v>
      </c>
      <c r="BK234" s="73">
        <f t="shared" si="1215"/>
        <v>0</v>
      </c>
      <c r="BL234" s="73">
        <f t="shared" ref="BL234:BQ234" si="1216">AH234+AT234+BF234</f>
        <v>0</v>
      </c>
      <c r="BM234" s="73">
        <f t="shared" si="1216"/>
        <v>0</v>
      </c>
      <c r="BN234" s="73">
        <f t="shared" si="1216"/>
        <v>0</v>
      </c>
      <c r="BO234" s="73">
        <f t="shared" si="1216"/>
        <v>343977.7944</v>
      </c>
      <c r="BP234" s="73">
        <f t="shared" si="1216"/>
        <v>343977.7944</v>
      </c>
      <c r="BQ234" s="73">
        <f t="shared" si="1216"/>
        <v>0</v>
      </c>
      <c r="BR234" s="73">
        <f t="shared" ref="BR234:BW234" si="1217">AT234+BF234+BL234</f>
        <v>0</v>
      </c>
      <c r="BS234" s="73">
        <f t="shared" si="1217"/>
        <v>0</v>
      </c>
      <c r="BT234" s="73">
        <f t="shared" si="1217"/>
        <v>0</v>
      </c>
      <c r="BU234" s="73">
        <f t="shared" si="1217"/>
        <v>687955.5888</v>
      </c>
      <c r="BV234" s="73">
        <f t="shared" si="1217"/>
        <v>687955.5888</v>
      </c>
      <c r="BW234" s="73">
        <f t="shared" si="1217"/>
        <v>0</v>
      </c>
      <c r="BX234" s="73">
        <f t="shared" ref="BX234:DY234" si="1218">BF234+BL234+BR234</f>
        <v>0</v>
      </c>
      <c r="BY234" s="73">
        <f t="shared" si="1218"/>
        <v>0</v>
      </c>
      <c r="BZ234" s="73">
        <f t="shared" si="1218"/>
        <v>0</v>
      </c>
      <c r="CA234" s="73">
        <f t="shared" si="1218"/>
        <v>1203922.28</v>
      </c>
      <c r="CB234" s="73">
        <f t="shared" si="1218"/>
        <v>1203922.28</v>
      </c>
      <c r="CC234" s="73">
        <f t="shared" si="1218"/>
        <v>0</v>
      </c>
      <c r="CD234" s="73">
        <f t="shared" si="1218"/>
        <v>0</v>
      </c>
      <c r="CE234" s="73">
        <f t="shared" si="1218"/>
        <v>0</v>
      </c>
      <c r="CF234" s="73">
        <f t="shared" si="1218"/>
        <v>0</v>
      </c>
      <c r="CG234" s="73">
        <f t="shared" si="1218"/>
        <v>2235855.663</v>
      </c>
      <c r="CH234" s="73">
        <f t="shared" si="1218"/>
        <v>2235855.663</v>
      </c>
      <c r="CI234" s="73">
        <f t="shared" si="1218"/>
        <v>0</v>
      </c>
      <c r="CJ234" s="73">
        <f t="shared" si="1218"/>
        <v>0</v>
      </c>
      <c r="CK234" s="73">
        <f t="shared" si="1218"/>
        <v>0</v>
      </c>
      <c r="CL234" s="73">
        <f t="shared" si="1218"/>
        <v>0</v>
      </c>
      <c r="CM234" s="73">
        <f t="shared" si="1218"/>
        <v>4127733.533</v>
      </c>
      <c r="CN234" s="73">
        <f t="shared" si="1218"/>
        <v>4127733.533</v>
      </c>
      <c r="CO234" s="73">
        <f t="shared" si="1218"/>
        <v>0</v>
      </c>
      <c r="CP234" s="73">
        <f t="shared" si="1218"/>
        <v>0</v>
      </c>
      <c r="CQ234" s="73">
        <f t="shared" si="1218"/>
        <v>0</v>
      </c>
      <c r="CR234" s="73">
        <f t="shared" si="1218"/>
        <v>0</v>
      </c>
      <c r="CS234" s="73">
        <f t="shared" si="1218"/>
        <v>7567511.476</v>
      </c>
      <c r="CT234" s="73">
        <f t="shared" si="1218"/>
        <v>7567511.476</v>
      </c>
      <c r="CU234" s="73">
        <f t="shared" si="1218"/>
        <v>0</v>
      </c>
      <c r="CV234" s="73">
        <f t="shared" si="1218"/>
        <v>0</v>
      </c>
      <c r="CW234" s="73">
        <f t="shared" si="1218"/>
        <v>0</v>
      </c>
      <c r="CX234" s="73">
        <f t="shared" si="1218"/>
        <v>0</v>
      </c>
      <c r="CY234" s="73">
        <f t="shared" si="1218"/>
        <v>13931100.67</v>
      </c>
      <c r="CZ234" s="73">
        <f t="shared" si="1218"/>
        <v>13931100.67</v>
      </c>
      <c r="DA234" s="73">
        <f t="shared" si="1218"/>
        <v>0</v>
      </c>
      <c r="DB234" s="73">
        <f t="shared" si="1218"/>
        <v>0</v>
      </c>
      <c r="DC234" s="73">
        <f t="shared" si="1218"/>
        <v>0</v>
      </c>
      <c r="DD234" s="73">
        <f t="shared" si="1218"/>
        <v>0</v>
      </c>
      <c r="DE234" s="73">
        <f t="shared" si="1218"/>
        <v>25626345.68</v>
      </c>
      <c r="DF234" s="73">
        <f t="shared" si="1218"/>
        <v>25626345.68</v>
      </c>
      <c r="DG234" s="73">
        <f t="shared" si="1218"/>
        <v>0</v>
      </c>
      <c r="DH234" s="73">
        <f t="shared" si="1218"/>
        <v>0</v>
      </c>
      <c r="DI234" s="73">
        <f t="shared" si="1218"/>
        <v>0</v>
      </c>
      <c r="DJ234" s="73">
        <f t="shared" si="1218"/>
        <v>0</v>
      </c>
      <c r="DK234" s="73">
        <f t="shared" si="1218"/>
        <v>47124957.83</v>
      </c>
      <c r="DL234" s="73">
        <f t="shared" si="1218"/>
        <v>47124957.83</v>
      </c>
      <c r="DM234" s="73">
        <f t="shared" si="1218"/>
        <v>0</v>
      </c>
      <c r="DN234" s="73">
        <f t="shared" si="1218"/>
        <v>0</v>
      </c>
      <c r="DO234" s="73">
        <f t="shared" si="1218"/>
        <v>0</v>
      </c>
      <c r="DP234" s="73">
        <f t="shared" si="1218"/>
        <v>0</v>
      </c>
      <c r="DQ234" s="73">
        <f t="shared" si="1218"/>
        <v>86682404.18</v>
      </c>
      <c r="DR234" s="73">
        <f t="shared" si="1218"/>
        <v>86682404.18</v>
      </c>
      <c r="DS234" s="73">
        <f t="shared" si="1218"/>
        <v>0</v>
      </c>
      <c r="DT234" s="73">
        <f t="shared" si="1218"/>
        <v>0</v>
      </c>
      <c r="DU234" s="73">
        <f t="shared" si="1218"/>
        <v>0</v>
      </c>
      <c r="DV234" s="73">
        <f t="shared" si="1218"/>
        <v>0</v>
      </c>
      <c r="DW234" s="73">
        <f t="shared" si="1218"/>
        <v>159433707.7</v>
      </c>
      <c r="DX234" s="73">
        <f t="shared" si="1218"/>
        <v>159433707.7</v>
      </c>
      <c r="DY234" s="73">
        <f t="shared" si="1218"/>
        <v>0</v>
      </c>
      <c r="DZ234" s="75" t="s">
        <v>176</v>
      </c>
      <c r="EA234" s="102"/>
    </row>
    <row r="235" ht="21.75" customHeight="1">
      <c r="A235" s="64"/>
      <c r="B235" s="70"/>
      <c r="C235" s="71"/>
      <c r="D235" s="71"/>
      <c r="E235" s="71"/>
      <c r="F235" s="81" t="s">
        <v>177</v>
      </c>
      <c r="G235" s="73">
        <v>1911471.0</v>
      </c>
      <c r="H235" s="73">
        <v>1193388.0</v>
      </c>
      <c r="I235" s="73">
        <v>718083.0</v>
      </c>
      <c r="J235" s="73"/>
      <c r="K235" s="73"/>
      <c r="L235" s="73"/>
      <c r="M235" s="73">
        <f t="shared" si="1206"/>
        <v>0</v>
      </c>
      <c r="N235" s="73">
        <v>0.0</v>
      </c>
      <c r="O235" s="73">
        <v>0.0</v>
      </c>
      <c r="P235" s="73"/>
      <c r="Q235" s="73"/>
      <c r="R235" s="73"/>
      <c r="S235" s="73">
        <f t="shared" si="1207"/>
        <v>0</v>
      </c>
      <c r="T235" s="73">
        <v>0.0</v>
      </c>
      <c r="U235" s="73">
        <v>0.0</v>
      </c>
      <c r="V235" s="73"/>
      <c r="W235" s="73"/>
      <c r="X235" s="73"/>
      <c r="Y235" s="73">
        <f t="shared" si="1208"/>
        <v>0</v>
      </c>
      <c r="Z235" s="73">
        <v>0.0</v>
      </c>
      <c r="AA235" s="73">
        <v>0.0</v>
      </c>
      <c r="AB235" s="73"/>
      <c r="AC235" s="73"/>
      <c r="AD235" s="73"/>
      <c r="AE235" s="73">
        <f t="shared" ref="AE235:AG235" si="1219">M235+S235+Y235</f>
        <v>0</v>
      </c>
      <c r="AF235" s="73">
        <f t="shared" si="1219"/>
        <v>0</v>
      </c>
      <c r="AG235" s="73">
        <f t="shared" si="1219"/>
        <v>0</v>
      </c>
      <c r="AH235" s="73"/>
      <c r="AI235" s="73"/>
      <c r="AJ235" s="73"/>
      <c r="AK235" s="73">
        <v>0.0</v>
      </c>
      <c r="AL235" s="73">
        <v>0.0</v>
      </c>
      <c r="AM235" s="73">
        <v>0.0</v>
      </c>
      <c r="AN235" s="73"/>
      <c r="AO235" s="73"/>
      <c r="AP235" s="73"/>
      <c r="AQ235" s="73">
        <f t="shared" ref="AQ235:AS235" si="1220">AE235+AK235</f>
        <v>0</v>
      </c>
      <c r="AR235" s="73">
        <f t="shared" si="1220"/>
        <v>0</v>
      </c>
      <c r="AS235" s="73">
        <f t="shared" si="1220"/>
        <v>0</v>
      </c>
      <c r="AT235" s="73"/>
      <c r="AU235" s="73"/>
      <c r="AV235" s="73"/>
      <c r="AW235" s="73">
        <f t="shared" si="1212"/>
        <v>8142.70387</v>
      </c>
      <c r="AX235" s="73">
        <f>1401.6443+6741.05957</f>
        <v>8142.70387</v>
      </c>
      <c r="AY235" s="73">
        <v>0.0</v>
      </c>
      <c r="AZ235" s="73"/>
      <c r="BA235" s="73"/>
      <c r="BB235" s="73"/>
      <c r="BC235" s="73">
        <f t="shared" ref="BC235:BE235" si="1221">AQ235+AW235</f>
        <v>8142.70387</v>
      </c>
      <c r="BD235" s="73">
        <f t="shared" si="1221"/>
        <v>8142.70387</v>
      </c>
      <c r="BE235" s="73">
        <f t="shared" si="1221"/>
        <v>0</v>
      </c>
      <c r="BF235" s="73"/>
      <c r="BG235" s="73"/>
      <c r="BH235" s="73"/>
      <c r="BI235" s="73"/>
      <c r="BJ235" s="73"/>
      <c r="BK235" s="73"/>
      <c r="BL235" s="73"/>
      <c r="BM235" s="73"/>
      <c r="BN235" s="73"/>
      <c r="BO235" s="73"/>
      <c r="BP235" s="73"/>
      <c r="BQ235" s="73"/>
      <c r="BR235" s="73"/>
      <c r="BS235" s="73"/>
      <c r="BT235" s="73"/>
      <c r="BU235" s="73"/>
      <c r="BV235" s="73"/>
      <c r="BW235" s="73"/>
      <c r="BX235" s="73"/>
      <c r="BY235" s="73"/>
      <c r="BZ235" s="73"/>
      <c r="CA235" s="73"/>
      <c r="CB235" s="73"/>
      <c r="CC235" s="73"/>
      <c r="CD235" s="73"/>
      <c r="CE235" s="73"/>
      <c r="CF235" s="73"/>
      <c r="CG235" s="73"/>
      <c r="CH235" s="73"/>
      <c r="CI235" s="73"/>
      <c r="CJ235" s="73"/>
      <c r="CK235" s="73"/>
      <c r="CL235" s="73"/>
      <c r="CM235" s="73"/>
      <c r="CN235" s="73"/>
      <c r="CO235" s="73"/>
      <c r="CP235" s="73"/>
      <c r="CQ235" s="73"/>
      <c r="CR235" s="73"/>
      <c r="CS235" s="73"/>
      <c r="CT235" s="73"/>
      <c r="CU235" s="73"/>
      <c r="CV235" s="73"/>
      <c r="CW235" s="73"/>
      <c r="CX235" s="73"/>
      <c r="CY235" s="73"/>
      <c r="CZ235" s="73"/>
      <c r="DA235" s="73"/>
      <c r="DB235" s="73"/>
      <c r="DC235" s="73"/>
      <c r="DD235" s="73"/>
      <c r="DE235" s="73"/>
      <c r="DF235" s="73"/>
      <c r="DG235" s="73"/>
      <c r="DH235" s="73"/>
      <c r="DI235" s="73"/>
      <c r="DJ235" s="73"/>
      <c r="DK235" s="73"/>
      <c r="DL235" s="73"/>
      <c r="DM235" s="73"/>
      <c r="DN235" s="73"/>
      <c r="DO235" s="73"/>
      <c r="DP235" s="73"/>
      <c r="DQ235" s="73"/>
      <c r="DR235" s="73"/>
      <c r="DS235" s="73"/>
      <c r="DT235" s="73"/>
      <c r="DU235" s="74"/>
      <c r="DV235" s="74"/>
      <c r="DW235" s="72"/>
      <c r="DX235" s="72"/>
      <c r="DY235" s="72"/>
      <c r="DZ235" s="75" t="s">
        <v>178</v>
      </c>
      <c r="EA235" s="102"/>
    </row>
    <row r="236" ht="21.75" customHeight="1">
      <c r="A236" s="64"/>
      <c r="B236" s="59"/>
      <c r="C236" s="33"/>
      <c r="D236" s="33"/>
      <c r="E236" s="33"/>
      <c r="F236" s="60"/>
      <c r="G236" s="29"/>
      <c r="H236" s="29"/>
      <c r="I236" s="29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  <c r="AA236" s="61"/>
      <c r="AB236" s="61">
        <f t="shared" ref="AB236:AG236" si="1222">J236+P236+V236</f>
        <v>0</v>
      </c>
      <c r="AC236" s="61">
        <f t="shared" si="1222"/>
        <v>0</v>
      </c>
      <c r="AD236" s="61">
        <f t="shared" si="1222"/>
        <v>0</v>
      </c>
      <c r="AE236" s="103">
        <f t="shared" si="1222"/>
        <v>0</v>
      </c>
      <c r="AF236" s="103">
        <f t="shared" si="1222"/>
        <v>0</v>
      </c>
      <c r="AG236" s="103">
        <f t="shared" si="1222"/>
        <v>0</v>
      </c>
      <c r="AH236" s="61"/>
      <c r="AI236" s="61"/>
      <c r="AJ236" s="61"/>
      <c r="AK236" s="61"/>
      <c r="AL236" s="61"/>
      <c r="AM236" s="61"/>
      <c r="AN236" s="103"/>
      <c r="AO236" s="103"/>
      <c r="AP236" s="103"/>
      <c r="AQ236" s="103"/>
      <c r="AR236" s="103"/>
      <c r="AS236" s="103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F236" s="29"/>
      <c r="BG236" s="29"/>
      <c r="BH236" s="29"/>
      <c r="BI236" s="29"/>
      <c r="BJ236" s="29"/>
      <c r="BK236" s="29"/>
      <c r="BL236" s="29"/>
      <c r="BM236" s="29"/>
      <c r="BN236" s="29"/>
      <c r="BO236" s="29"/>
      <c r="BP236" s="29"/>
      <c r="BQ236" s="29"/>
      <c r="BR236" s="29"/>
      <c r="BS236" s="29"/>
      <c r="BT236" s="29"/>
      <c r="BU236" s="29"/>
      <c r="BV236" s="29"/>
      <c r="BW236" s="29"/>
      <c r="BX236" s="29"/>
      <c r="BY236" s="29"/>
      <c r="BZ236" s="29"/>
      <c r="CA236" s="29"/>
      <c r="CB236" s="29"/>
      <c r="CC236" s="29"/>
      <c r="CD236" s="29"/>
      <c r="CE236" s="29"/>
      <c r="CF236" s="29"/>
      <c r="CG236" s="29"/>
      <c r="CH236" s="29"/>
      <c r="CI236" s="29"/>
      <c r="CJ236" s="29"/>
      <c r="CK236" s="29"/>
      <c r="CL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B236" s="29"/>
      <c r="DC236" s="29"/>
      <c r="DD236" s="29"/>
      <c r="DE236" s="29"/>
      <c r="DF236" s="29"/>
      <c r="DG236" s="29"/>
      <c r="DH236" s="29"/>
      <c r="DI236" s="29"/>
      <c r="DJ236" s="29"/>
      <c r="DK236" s="29"/>
      <c r="DL236" s="29"/>
      <c r="DM236" s="29"/>
      <c r="DN236" s="29"/>
      <c r="DO236" s="29"/>
      <c r="DP236" s="29"/>
      <c r="DQ236" s="29"/>
      <c r="DR236" s="29"/>
      <c r="DS236" s="29"/>
      <c r="DT236" s="29"/>
      <c r="DU236" s="32"/>
      <c r="DV236" s="32"/>
      <c r="DW236" s="32"/>
      <c r="DX236" s="32"/>
      <c r="DY236" s="32"/>
      <c r="DZ236" s="104"/>
      <c r="EA236" s="105"/>
    </row>
    <row r="237" ht="21.75" customHeight="1">
      <c r="A237" s="64"/>
      <c r="B237" s="70" t="s">
        <v>179</v>
      </c>
      <c r="C237" s="71" t="s">
        <v>180</v>
      </c>
      <c r="D237" s="71" t="s">
        <v>41</v>
      </c>
      <c r="E237" s="71" t="s">
        <v>83</v>
      </c>
      <c r="F237" s="106" t="s">
        <v>181</v>
      </c>
      <c r="G237" s="73">
        <v>108536.0</v>
      </c>
      <c r="H237" s="73">
        <v>0.0</v>
      </c>
      <c r="I237" s="73">
        <v>108536.0</v>
      </c>
      <c r="J237" s="73">
        <f>K237+L237</f>
        <v>0</v>
      </c>
      <c r="K237" s="73">
        <v>0.0</v>
      </c>
      <c r="L237" s="73">
        <v>0.0</v>
      </c>
      <c r="M237" s="73">
        <f>N237+O237</f>
        <v>0</v>
      </c>
      <c r="N237" s="73">
        <v>0.0</v>
      </c>
      <c r="O237" s="73">
        <v>0.0</v>
      </c>
      <c r="P237" s="73">
        <f>Q237+R237</f>
        <v>0</v>
      </c>
      <c r="Q237" s="73">
        <v>0.0</v>
      </c>
      <c r="R237" s="73">
        <v>0.0</v>
      </c>
      <c r="S237" s="73">
        <f>T237+U237</f>
        <v>0</v>
      </c>
      <c r="T237" s="73">
        <v>0.0</v>
      </c>
      <c r="U237" s="73">
        <v>0.0</v>
      </c>
      <c r="V237" s="73">
        <v>4176.0</v>
      </c>
      <c r="W237" s="73">
        <v>0.0</v>
      </c>
      <c r="X237" s="73">
        <v>4176.0</v>
      </c>
      <c r="Y237" s="73">
        <f>Z237+AA237</f>
        <v>0</v>
      </c>
      <c r="Z237" s="73">
        <v>0.0</v>
      </c>
      <c r="AA237" s="73">
        <v>0.0</v>
      </c>
      <c r="AB237" s="73">
        <f t="shared" ref="AB237:AG237" si="1223">J237+P237+V237</f>
        <v>4176</v>
      </c>
      <c r="AC237" s="73">
        <f t="shared" si="1223"/>
        <v>0</v>
      </c>
      <c r="AD237" s="73">
        <f t="shared" si="1223"/>
        <v>4176</v>
      </c>
      <c r="AE237" s="73">
        <f t="shared" si="1223"/>
        <v>0</v>
      </c>
      <c r="AF237" s="73">
        <f t="shared" si="1223"/>
        <v>0</v>
      </c>
      <c r="AG237" s="73">
        <f t="shared" si="1223"/>
        <v>0</v>
      </c>
      <c r="AH237" s="73">
        <v>688.0</v>
      </c>
      <c r="AI237" s="73">
        <v>0.0</v>
      </c>
      <c r="AJ237" s="73">
        <v>688.0</v>
      </c>
      <c r="AK237" s="73">
        <f>AL237+AM237</f>
        <v>773.38714</v>
      </c>
      <c r="AL237" s="73">
        <v>0.0</v>
      </c>
      <c r="AM237" s="73">
        <v>773.38714</v>
      </c>
      <c r="AN237" s="73">
        <f t="shared" ref="AN237:AS237" si="1224">AB237+AH237</f>
        <v>4864</v>
      </c>
      <c r="AO237" s="73">
        <f t="shared" si="1224"/>
        <v>0</v>
      </c>
      <c r="AP237" s="73">
        <f t="shared" si="1224"/>
        <v>4864</v>
      </c>
      <c r="AQ237" s="73">
        <f t="shared" si="1224"/>
        <v>773.38714</v>
      </c>
      <c r="AR237" s="73">
        <f t="shared" si="1224"/>
        <v>0</v>
      </c>
      <c r="AS237" s="73">
        <f t="shared" si="1224"/>
        <v>773.38714</v>
      </c>
      <c r="AT237" s="73">
        <v>1031.7</v>
      </c>
      <c r="AU237" s="73">
        <v>0.0</v>
      </c>
      <c r="AV237" s="73">
        <v>1031.7</v>
      </c>
      <c r="AW237" s="73">
        <v>0.0</v>
      </c>
      <c r="AX237" s="73">
        <v>0.0</v>
      </c>
      <c r="AY237" s="73">
        <v>0.0</v>
      </c>
      <c r="AZ237" s="73">
        <f t="shared" ref="AZ237:BE237" si="1225">AN237+AT237</f>
        <v>5895.7</v>
      </c>
      <c r="BA237" s="73">
        <f t="shared" si="1225"/>
        <v>0</v>
      </c>
      <c r="BB237" s="73">
        <f t="shared" si="1225"/>
        <v>5895.7</v>
      </c>
      <c r="BC237" s="73">
        <f t="shared" si="1225"/>
        <v>773.38714</v>
      </c>
      <c r="BD237" s="73">
        <f t="shared" si="1225"/>
        <v>0</v>
      </c>
      <c r="BE237" s="73">
        <f t="shared" si="1225"/>
        <v>773.38714</v>
      </c>
      <c r="BF237" s="73"/>
      <c r="BG237" s="73"/>
      <c r="BH237" s="73"/>
      <c r="BI237" s="73"/>
      <c r="BJ237" s="73"/>
      <c r="BK237" s="73"/>
      <c r="BL237" s="73"/>
      <c r="BM237" s="73"/>
      <c r="BN237" s="73"/>
      <c r="BO237" s="73"/>
      <c r="BP237" s="73"/>
      <c r="BQ237" s="73"/>
      <c r="BR237" s="73"/>
      <c r="BS237" s="73"/>
      <c r="BT237" s="73"/>
      <c r="BU237" s="73"/>
      <c r="BV237" s="73"/>
      <c r="BW237" s="73"/>
      <c r="BX237" s="73"/>
      <c r="BY237" s="73"/>
      <c r="BZ237" s="73"/>
      <c r="CA237" s="73"/>
      <c r="CB237" s="73"/>
      <c r="CC237" s="73"/>
      <c r="CD237" s="73"/>
      <c r="CE237" s="73"/>
      <c r="CF237" s="73"/>
      <c r="CG237" s="73"/>
      <c r="CH237" s="73"/>
      <c r="CI237" s="73"/>
      <c r="CJ237" s="73"/>
      <c r="CK237" s="73"/>
      <c r="CL237" s="73"/>
      <c r="CM237" s="73"/>
      <c r="CN237" s="73"/>
      <c r="CO237" s="73"/>
      <c r="CP237" s="73"/>
      <c r="CQ237" s="73"/>
      <c r="CR237" s="73"/>
      <c r="CS237" s="73"/>
      <c r="CT237" s="73"/>
      <c r="CU237" s="73"/>
      <c r="CV237" s="73"/>
      <c r="CW237" s="73"/>
      <c r="CX237" s="73"/>
      <c r="CY237" s="73"/>
      <c r="CZ237" s="73"/>
      <c r="DA237" s="73"/>
      <c r="DB237" s="73"/>
      <c r="DC237" s="73"/>
      <c r="DD237" s="73"/>
      <c r="DE237" s="73"/>
      <c r="DF237" s="73"/>
      <c r="DG237" s="73"/>
      <c r="DH237" s="73"/>
      <c r="DI237" s="73"/>
      <c r="DJ237" s="73"/>
      <c r="DK237" s="73"/>
      <c r="DL237" s="73"/>
      <c r="DM237" s="73"/>
      <c r="DN237" s="73"/>
      <c r="DO237" s="73"/>
      <c r="DP237" s="73"/>
      <c r="DQ237" s="73"/>
      <c r="DR237" s="73"/>
      <c r="DS237" s="73"/>
      <c r="DT237" s="73"/>
      <c r="DU237" s="74"/>
      <c r="DV237" s="74"/>
      <c r="DW237" s="72"/>
      <c r="DX237" s="72"/>
      <c r="DY237" s="72"/>
      <c r="DZ237" s="72"/>
      <c r="EA237" s="82" t="s">
        <v>182</v>
      </c>
    </row>
    <row r="238" ht="21.75" customHeight="1">
      <c r="A238" s="64"/>
      <c r="B238" s="70"/>
      <c r="C238" s="71"/>
      <c r="D238" s="71"/>
      <c r="E238" s="71"/>
      <c r="F238" s="81" t="s">
        <v>55</v>
      </c>
      <c r="G238" s="73"/>
      <c r="H238" s="73"/>
      <c r="I238" s="73"/>
      <c r="J238" s="73"/>
      <c r="K238" s="73"/>
      <c r="L238" s="73"/>
      <c r="M238" s="73"/>
      <c r="N238" s="73"/>
      <c r="O238" s="73"/>
      <c r="P238" s="73"/>
      <c r="Q238" s="73"/>
      <c r="R238" s="73"/>
      <c r="S238" s="73"/>
      <c r="T238" s="73"/>
      <c r="U238" s="73"/>
      <c r="V238" s="73"/>
      <c r="W238" s="73"/>
      <c r="X238" s="73"/>
      <c r="Y238" s="73"/>
      <c r="Z238" s="73"/>
      <c r="AA238" s="73"/>
      <c r="AB238" s="73"/>
      <c r="AC238" s="73"/>
      <c r="AD238" s="73"/>
      <c r="AE238" s="73">
        <f t="shared" ref="AE238:AG238" si="1226">M238+S238+Y238</f>
        <v>0</v>
      </c>
      <c r="AF238" s="73">
        <f t="shared" si="1226"/>
        <v>0</v>
      </c>
      <c r="AG238" s="73">
        <f t="shared" si="1226"/>
        <v>0</v>
      </c>
      <c r="AH238" s="73"/>
      <c r="AI238" s="73"/>
      <c r="AJ238" s="73"/>
      <c r="AK238" s="73"/>
      <c r="AL238" s="73"/>
      <c r="AM238" s="73"/>
      <c r="AN238" s="73"/>
      <c r="AO238" s="73"/>
      <c r="AP238" s="73"/>
      <c r="AQ238" s="73"/>
      <c r="AR238" s="73"/>
      <c r="AS238" s="73"/>
      <c r="AT238" s="73"/>
      <c r="AU238" s="73"/>
      <c r="AV238" s="73"/>
      <c r="AW238" s="73">
        <v>0.0</v>
      </c>
      <c r="AX238" s="73">
        <v>0.0</v>
      </c>
      <c r="AY238" s="73">
        <v>0.0</v>
      </c>
      <c r="AZ238" s="73"/>
      <c r="BA238" s="73"/>
      <c r="BB238" s="73"/>
      <c r="BC238" s="73">
        <f t="shared" ref="BC238:BE238" si="1227">AQ238+AW238</f>
        <v>0</v>
      </c>
      <c r="BD238" s="73">
        <f t="shared" si="1227"/>
        <v>0</v>
      </c>
      <c r="BE238" s="73">
        <f t="shared" si="1227"/>
        <v>0</v>
      </c>
      <c r="BF238" s="73"/>
      <c r="BG238" s="73"/>
      <c r="BH238" s="73"/>
      <c r="BI238" s="73"/>
      <c r="BJ238" s="73"/>
      <c r="BK238" s="73"/>
      <c r="BL238" s="73"/>
      <c r="BM238" s="73"/>
      <c r="BN238" s="73"/>
      <c r="BO238" s="73"/>
      <c r="BP238" s="73"/>
      <c r="BQ238" s="73"/>
      <c r="BR238" s="73"/>
      <c r="BS238" s="73"/>
      <c r="BT238" s="73"/>
      <c r="BU238" s="73"/>
      <c r="BV238" s="73"/>
      <c r="BW238" s="73"/>
      <c r="BX238" s="73"/>
      <c r="BY238" s="73"/>
      <c r="BZ238" s="73"/>
      <c r="CA238" s="73"/>
      <c r="CB238" s="73"/>
      <c r="CC238" s="73"/>
      <c r="CD238" s="73"/>
      <c r="CE238" s="73"/>
      <c r="CF238" s="73"/>
      <c r="CG238" s="73"/>
      <c r="CH238" s="73"/>
      <c r="CI238" s="73"/>
      <c r="CJ238" s="73"/>
      <c r="CK238" s="73"/>
      <c r="CL238" s="73"/>
      <c r="CM238" s="73"/>
      <c r="CN238" s="73"/>
      <c r="CO238" s="73"/>
      <c r="CP238" s="73"/>
      <c r="CQ238" s="73"/>
      <c r="CR238" s="73"/>
      <c r="CS238" s="73"/>
      <c r="CT238" s="73"/>
      <c r="CU238" s="73"/>
      <c r="CV238" s="73"/>
      <c r="CW238" s="73"/>
      <c r="CX238" s="73"/>
      <c r="CY238" s="73"/>
      <c r="CZ238" s="73"/>
      <c r="DA238" s="73"/>
      <c r="DB238" s="73"/>
      <c r="DC238" s="73"/>
      <c r="DD238" s="73"/>
      <c r="DE238" s="73"/>
      <c r="DF238" s="73"/>
      <c r="DG238" s="73"/>
      <c r="DH238" s="73"/>
      <c r="DI238" s="73"/>
      <c r="DJ238" s="73"/>
      <c r="DK238" s="73"/>
      <c r="DL238" s="73"/>
      <c r="DM238" s="73"/>
      <c r="DN238" s="73"/>
      <c r="DO238" s="73"/>
      <c r="DP238" s="73"/>
      <c r="DQ238" s="73"/>
      <c r="DR238" s="73"/>
      <c r="DS238" s="73"/>
      <c r="DT238" s="73"/>
      <c r="DU238" s="74"/>
      <c r="DV238" s="74"/>
      <c r="DW238" s="72"/>
      <c r="DX238" s="72"/>
      <c r="DY238" s="72"/>
      <c r="DZ238" s="72"/>
      <c r="EA238" s="82"/>
    </row>
    <row r="239" ht="21.75" customHeight="1">
      <c r="A239" s="64"/>
      <c r="B239" s="70" t="s">
        <v>179</v>
      </c>
      <c r="C239" s="71" t="s">
        <v>183</v>
      </c>
      <c r="D239" s="71" t="s">
        <v>41</v>
      </c>
      <c r="E239" s="71" t="s">
        <v>44</v>
      </c>
      <c r="F239" s="106" t="s">
        <v>184</v>
      </c>
      <c r="G239" s="73">
        <v>260835.0</v>
      </c>
      <c r="H239" s="73">
        <v>30159.0</v>
      </c>
      <c r="I239" s="73">
        <v>230676.0</v>
      </c>
      <c r="J239" s="73">
        <f>K239+L239</f>
        <v>0</v>
      </c>
      <c r="K239" s="73">
        <v>0.0</v>
      </c>
      <c r="L239" s="73">
        <v>0.0</v>
      </c>
      <c r="M239" s="73">
        <f>N239+O239</f>
        <v>0</v>
      </c>
      <c r="N239" s="73">
        <v>0.0</v>
      </c>
      <c r="O239" s="73">
        <v>0.0</v>
      </c>
      <c r="P239" s="73">
        <f>Q239+R239</f>
        <v>0</v>
      </c>
      <c r="Q239" s="73">
        <v>0.0</v>
      </c>
      <c r="R239" s="73">
        <v>0.0</v>
      </c>
      <c r="S239" s="73">
        <f>T239+U239</f>
        <v>0</v>
      </c>
      <c r="T239" s="73">
        <v>0.0</v>
      </c>
      <c r="U239" s="73">
        <v>0.0</v>
      </c>
      <c r="V239" s="73">
        <v>8876.0</v>
      </c>
      <c r="W239" s="73">
        <v>0.0</v>
      </c>
      <c r="X239" s="73">
        <v>8876.0</v>
      </c>
      <c r="Y239" s="73">
        <f>Z239+AA239</f>
        <v>0</v>
      </c>
      <c r="Z239" s="73">
        <v>0.0</v>
      </c>
      <c r="AA239" s="73">
        <v>0.0</v>
      </c>
      <c r="AB239" s="73">
        <f t="shared" ref="AB239:AG239" si="1228">J239+P239+V239</f>
        <v>8876</v>
      </c>
      <c r="AC239" s="73">
        <f t="shared" si="1228"/>
        <v>0</v>
      </c>
      <c r="AD239" s="73">
        <f t="shared" si="1228"/>
        <v>8876</v>
      </c>
      <c r="AE239" s="73">
        <f t="shared" si="1228"/>
        <v>0</v>
      </c>
      <c r="AF239" s="73">
        <f t="shared" si="1228"/>
        <v>0</v>
      </c>
      <c r="AG239" s="73">
        <f t="shared" si="1228"/>
        <v>0</v>
      </c>
      <c r="AH239" s="73">
        <v>6441.0</v>
      </c>
      <c r="AI239" s="73">
        <v>4979.0</v>
      </c>
      <c r="AJ239" s="73">
        <v>1462.0</v>
      </c>
      <c r="AK239" s="73">
        <f>AL239+AM239</f>
        <v>107516.3306</v>
      </c>
      <c r="AL239" s="73">
        <v>0.0</v>
      </c>
      <c r="AM239" s="73">
        <v>107516.33061</v>
      </c>
      <c r="AN239" s="73">
        <f t="shared" ref="AN239:AS239" si="1229">AB239+AH239</f>
        <v>15317</v>
      </c>
      <c r="AO239" s="73">
        <f t="shared" si="1229"/>
        <v>4979</v>
      </c>
      <c r="AP239" s="73">
        <f t="shared" si="1229"/>
        <v>10338</v>
      </c>
      <c r="AQ239" s="73">
        <f t="shared" si="1229"/>
        <v>107516.3306</v>
      </c>
      <c r="AR239" s="73">
        <f t="shared" si="1229"/>
        <v>0</v>
      </c>
      <c r="AS239" s="73">
        <f t="shared" si="1229"/>
        <v>107516.3306</v>
      </c>
      <c r="AT239" s="73">
        <v>9661.5</v>
      </c>
      <c r="AU239" s="73">
        <v>7468.5</v>
      </c>
      <c r="AV239" s="73">
        <v>2193.0</v>
      </c>
      <c r="AW239" s="73">
        <v>0.0</v>
      </c>
      <c r="AX239" s="73">
        <v>0.0</v>
      </c>
      <c r="AY239" s="73">
        <v>0.0</v>
      </c>
      <c r="AZ239" s="73">
        <f t="shared" ref="AZ239:BE239" si="1230">AN239+AT239</f>
        <v>24978.5</v>
      </c>
      <c r="BA239" s="73">
        <f t="shared" si="1230"/>
        <v>12447.5</v>
      </c>
      <c r="BB239" s="73">
        <f t="shared" si="1230"/>
        <v>12531</v>
      </c>
      <c r="BC239" s="73">
        <f t="shared" si="1230"/>
        <v>107516.3306</v>
      </c>
      <c r="BD239" s="73">
        <f t="shared" si="1230"/>
        <v>0</v>
      </c>
      <c r="BE239" s="73">
        <f t="shared" si="1230"/>
        <v>107516.3306</v>
      </c>
      <c r="BF239" s="73"/>
      <c r="BG239" s="73"/>
      <c r="BH239" s="73"/>
      <c r="BI239" s="73"/>
      <c r="BJ239" s="73"/>
      <c r="BK239" s="73"/>
      <c r="BL239" s="73"/>
      <c r="BM239" s="73"/>
      <c r="BN239" s="73"/>
      <c r="BO239" s="73"/>
      <c r="BP239" s="73"/>
      <c r="BQ239" s="73"/>
      <c r="BR239" s="73"/>
      <c r="BS239" s="73"/>
      <c r="BT239" s="73"/>
      <c r="BU239" s="73"/>
      <c r="BV239" s="73"/>
      <c r="BW239" s="73"/>
      <c r="BX239" s="73"/>
      <c r="BY239" s="73"/>
      <c r="BZ239" s="73"/>
      <c r="CA239" s="73"/>
      <c r="CB239" s="73"/>
      <c r="CC239" s="73"/>
      <c r="CD239" s="73"/>
      <c r="CE239" s="73"/>
      <c r="CF239" s="73"/>
      <c r="CG239" s="73"/>
      <c r="CH239" s="73"/>
      <c r="CI239" s="73"/>
      <c r="CJ239" s="73"/>
      <c r="CK239" s="73"/>
      <c r="CL239" s="73"/>
      <c r="CM239" s="73"/>
      <c r="CN239" s="73"/>
      <c r="CO239" s="73"/>
      <c r="CP239" s="73"/>
      <c r="CQ239" s="73"/>
      <c r="CR239" s="73"/>
      <c r="CS239" s="73"/>
      <c r="CT239" s="73"/>
      <c r="CU239" s="73"/>
      <c r="CV239" s="73"/>
      <c r="CW239" s="73"/>
      <c r="CX239" s="73"/>
      <c r="CY239" s="73"/>
      <c r="CZ239" s="73"/>
      <c r="DA239" s="73"/>
      <c r="DB239" s="73"/>
      <c r="DC239" s="73"/>
      <c r="DD239" s="73"/>
      <c r="DE239" s="73"/>
      <c r="DF239" s="73"/>
      <c r="DG239" s="73"/>
      <c r="DH239" s="73"/>
      <c r="DI239" s="73"/>
      <c r="DJ239" s="73"/>
      <c r="DK239" s="73"/>
      <c r="DL239" s="73"/>
      <c r="DM239" s="73"/>
      <c r="DN239" s="73"/>
      <c r="DO239" s="73"/>
      <c r="DP239" s="73"/>
      <c r="DQ239" s="73"/>
      <c r="DR239" s="73"/>
      <c r="DS239" s="73"/>
      <c r="DT239" s="73"/>
      <c r="DU239" s="74"/>
      <c r="DV239" s="74"/>
      <c r="DW239" s="72"/>
      <c r="DX239" s="72"/>
      <c r="DY239" s="72"/>
      <c r="DZ239" s="75" t="s">
        <v>185</v>
      </c>
      <c r="EA239" s="76" t="s">
        <v>186</v>
      </c>
    </row>
    <row r="240" ht="21.75" customHeight="1">
      <c r="A240" s="64"/>
      <c r="B240" s="70"/>
      <c r="C240" s="71"/>
      <c r="D240" s="71"/>
      <c r="E240" s="71"/>
      <c r="F240" s="81" t="s">
        <v>55</v>
      </c>
      <c r="G240" s="73"/>
      <c r="H240" s="73"/>
      <c r="I240" s="73"/>
      <c r="J240" s="73"/>
      <c r="K240" s="73"/>
      <c r="L240" s="73"/>
      <c r="M240" s="73"/>
      <c r="N240" s="73"/>
      <c r="O240" s="73"/>
      <c r="P240" s="73"/>
      <c r="Q240" s="73"/>
      <c r="R240" s="73"/>
      <c r="S240" s="73"/>
      <c r="T240" s="73"/>
      <c r="U240" s="73"/>
      <c r="V240" s="73"/>
      <c r="W240" s="73"/>
      <c r="X240" s="73"/>
      <c r="Y240" s="73"/>
      <c r="Z240" s="73"/>
      <c r="AA240" s="73"/>
      <c r="AB240" s="73"/>
      <c r="AC240" s="73"/>
      <c r="AD240" s="73"/>
      <c r="AE240" s="73">
        <f t="shared" ref="AE240:AG240" si="1231">M240+S240+Y240</f>
        <v>0</v>
      </c>
      <c r="AF240" s="73">
        <f t="shared" si="1231"/>
        <v>0</v>
      </c>
      <c r="AG240" s="73">
        <f t="shared" si="1231"/>
        <v>0</v>
      </c>
      <c r="AH240" s="73"/>
      <c r="AI240" s="73"/>
      <c r="AJ240" s="73"/>
      <c r="AK240" s="73"/>
      <c r="AL240" s="73"/>
      <c r="AM240" s="73"/>
      <c r="AN240" s="73"/>
      <c r="AO240" s="73"/>
      <c r="AP240" s="73"/>
      <c r="AQ240" s="73"/>
      <c r="AR240" s="73"/>
      <c r="AS240" s="73"/>
      <c r="AT240" s="73"/>
      <c r="AU240" s="73"/>
      <c r="AV240" s="73"/>
      <c r="AW240" s="73">
        <v>0.0</v>
      </c>
      <c r="AX240" s="73">
        <v>0.0</v>
      </c>
      <c r="AY240" s="73">
        <v>0.0</v>
      </c>
      <c r="AZ240" s="73"/>
      <c r="BA240" s="73"/>
      <c r="BB240" s="73"/>
      <c r="BC240" s="73">
        <f t="shared" ref="BC240:BE240" si="1232">AQ240+AW240</f>
        <v>0</v>
      </c>
      <c r="BD240" s="73">
        <f t="shared" si="1232"/>
        <v>0</v>
      </c>
      <c r="BE240" s="73">
        <f t="shared" si="1232"/>
        <v>0</v>
      </c>
      <c r="BF240" s="73"/>
      <c r="BG240" s="73"/>
      <c r="BH240" s="73"/>
      <c r="BI240" s="73"/>
      <c r="BJ240" s="73"/>
      <c r="BK240" s="73"/>
      <c r="BL240" s="73"/>
      <c r="BM240" s="73"/>
      <c r="BN240" s="73"/>
      <c r="BO240" s="73"/>
      <c r="BP240" s="73"/>
      <c r="BQ240" s="73"/>
      <c r="BR240" s="73"/>
      <c r="BS240" s="73"/>
      <c r="BT240" s="73"/>
      <c r="BU240" s="73"/>
      <c r="BV240" s="73"/>
      <c r="BW240" s="73"/>
      <c r="BX240" s="73"/>
      <c r="BY240" s="73"/>
      <c r="BZ240" s="73"/>
      <c r="CA240" s="73"/>
      <c r="CB240" s="73"/>
      <c r="CC240" s="73"/>
      <c r="CD240" s="73"/>
      <c r="CE240" s="73"/>
      <c r="CF240" s="73"/>
      <c r="CG240" s="73"/>
      <c r="CH240" s="73"/>
      <c r="CI240" s="73"/>
      <c r="CJ240" s="73"/>
      <c r="CK240" s="73"/>
      <c r="CL240" s="73"/>
      <c r="CM240" s="73"/>
      <c r="CN240" s="73"/>
      <c r="CO240" s="73"/>
      <c r="CP240" s="73"/>
      <c r="CQ240" s="73"/>
      <c r="CR240" s="73"/>
      <c r="CS240" s="73"/>
      <c r="CT240" s="73"/>
      <c r="CU240" s="73"/>
      <c r="CV240" s="73"/>
      <c r="CW240" s="73"/>
      <c r="CX240" s="73"/>
      <c r="CY240" s="73"/>
      <c r="CZ240" s="73"/>
      <c r="DA240" s="73"/>
      <c r="DB240" s="73"/>
      <c r="DC240" s="73"/>
      <c r="DD240" s="73"/>
      <c r="DE240" s="73"/>
      <c r="DF240" s="73"/>
      <c r="DG240" s="73"/>
      <c r="DH240" s="73"/>
      <c r="DI240" s="73"/>
      <c r="DJ240" s="73"/>
      <c r="DK240" s="73"/>
      <c r="DL240" s="73"/>
      <c r="DM240" s="73"/>
      <c r="DN240" s="73"/>
      <c r="DO240" s="73"/>
      <c r="DP240" s="73"/>
      <c r="DQ240" s="73"/>
      <c r="DR240" s="73"/>
      <c r="DS240" s="73"/>
      <c r="DT240" s="73"/>
      <c r="DU240" s="74"/>
      <c r="DV240" s="74"/>
      <c r="DW240" s="72"/>
      <c r="DX240" s="72"/>
      <c r="DY240" s="72"/>
      <c r="DZ240" s="75"/>
      <c r="EA240" s="76"/>
    </row>
    <row r="241" ht="21.75" customHeight="1">
      <c r="A241" s="64"/>
      <c r="B241" s="70" t="s">
        <v>179</v>
      </c>
      <c r="C241" s="71" t="s">
        <v>187</v>
      </c>
      <c r="D241" s="71" t="s">
        <v>41</v>
      </c>
      <c r="E241" s="71" t="s">
        <v>188</v>
      </c>
      <c r="F241" s="106" t="s">
        <v>189</v>
      </c>
      <c r="G241" s="73">
        <v>10326.0</v>
      </c>
      <c r="H241" s="73">
        <v>10326.0</v>
      </c>
      <c r="I241" s="73">
        <v>0.0</v>
      </c>
      <c r="J241" s="73">
        <f>K241+L241</f>
        <v>0</v>
      </c>
      <c r="K241" s="73">
        <v>0.0</v>
      </c>
      <c r="L241" s="73">
        <v>0.0</v>
      </c>
      <c r="M241" s="73">
        <f>N241+O241</f>
        <v>0</v>
      </c>
      <c r="N241" s="73">
        <v>0.0</v>
      </c>
      <c r="O241" s="73">
        <v>0.0</v>
      </c>
      <c r="P241" s="73">
        <f>Q241+R241</f>
        <v>0</v>
      </c>
      <c r="Q241" s="73">
        <v>0.0</v>
      </c>
      <c r="R241" s="73">
        <v>0.0</v>
      </c>
      <c r="S241" s="73">
        <f>T241+U241</f>
        <v>0</v>
      </c>
      <c r="T241" s="73">
        <v>0.0</v>
      </c>
      <c r="U241" s="73">
        <v>0.0</v>
      </c>
      <c r="V241" s="73">
        <v>0.0</v>
      </c>
      <c r="W241" s="73">
        <v>0.0</v>
      </c>
      <c r="X241" s="73">
        <v>0.0</v>
      </c>
      <c r="Y241" s="73">
        <f>Z241+AA241</f>
        <v>10325.952</v>
      </c>
      <c r="Z241" s="73">
        <f>1588.608+3177.216+2382.912+1588.608+1588.608</f>
        <v>10325.952</v>
      </c>
      <c r="AA241" s="73">
        <v>0.0</v>
      </c>
      <c r="AB241" s="73">
        <f t="shared" ref="AB241:AG241" si="1233">J241+P241+V241</f>
        <v>0</v>
      </c>
      <c r="AC241" s="73">
        <f t="shared" si="1233"/>
        <v>0</v>
      </c>
      <c r="AD241" s="73">
        <f t="shared" si="1233"/>
        <v>0</v>
      </c>
      <c r="AE241" s="73">
        <f t="shared" si="1233"/>
        <v>10325.952</v>
      </c>
      <c r="AF241" s="73">
        <f t="shared" si="1233"/>
        <v>10325.952</v>
      </c>
      <c r="AG241" s="73">
        <f t="shared" si="1233"/>
        <v>0</v>
      </c>
      <c r="AH241" s="73">
        <v>1705.0</v>
      </c>
      <c r="AI241" s="73">
        <v>1705.0</v>
      </c>
      <c r="AJ241" s="73">
        <v>0.0</v>
      </c>
      <c r="AK241" s="73">
        <f>AL241+AM241</f>
        <v>0</v>
      </c>
      <c r="AL241" s="73">
        <v>0.0</v>
      </c>
      <c r="AM241" s="73">
        <v>0.0</v>
      </c>
      <c r="AN241" s="73">
        <f t="shared" ref="AN241:AS241" si="1234">AB241+AH241</f>
        <v>1705</v>
      </c>
      <c r="AO241" s="73">
        <f t="shared" si="1234"/>
        <v>1705</v>
      </c>
      <c r="AP241" s="73">
        <f t="shared" si="1234"/>
        <v>0</v>
      </c>
      <c r="AQ241" s="73">
        <f t="shared" si="1234"/>
        <v>10325.952</v>
      </c>
      <c r="AR241" s="73">
        <f t="shared" si="1234"/>
        <v>10325.952</v>
      </c>
      <c r="AS241" s="73">
        <f t="shared" si="1234"/>
        <v>0</v>
      </c>
      <c r="AT241" s="73">
        <v>2557.0</v>
      </c>
      <c r="AU241" s="73">
        <v>2557.0</v>
      </c>
      <c r="AV241" s="73">
        <v>0.0</v>
      </c>
      <c r="AW241" s="73">
        <v>0.0</v>
      </c>
      <c r="AX241" s="73">
        <v>0.0</v>
      </c>
      <c r="AY241" s="73">
        <v>0.0</v>
      </c>
      <c r="AZ241" s="73">
        <f t="shared" ref="AZ241:BE241" si="1235">AN241+AT241</f>
        <v>4262</v>
      </c>
      <c r="BA241" s="73">
        <f t="shared" si="1235"/>
        <v>4262</v>
      </c>
      <c r="BB241" s="73">
        <f t="shared" si="1235"/>
        <v>0</v>
      </c>
      <c r="BC241" s="73">
        <f t="shared" si="1235"/>
        <v>10325.952</v>
      </c>
      <c r="BD241" s="73">
        <f t="shared" si="1235"/>
        <v>10325.952</v>
      </c>
      <c r="BE241" s="73">
        <f t="shared" si="1235"/>
        <v>0</v>
      </c>
      <c r="BF241" s="73"/>
      <c r="BG241" s="73"/>
      <c r="BH241" s="73"/>
      <c r="BI241" s="73"/>
      <c r="BJ241" s="73"/>
      <c r="BK241" s="73"/>
      <c r="BL241" s="73"/>
      <c r="BM241" s="73"/>
      <c r="BN241" s="73"/>
      <c r="BO241" s="73"/>
      <c r="BP241" s="73"/>
      <c r="BQ241" s="73"/>
      <c r="BR241" s="73"/>
      <c r="BS241" s="73"/>
      <c r="BT241" s="73"/>
      <c r="BU241" s="73"/>
      <c r="BV241" s="73"/>
      <c r="BW241" s="73"/>
      <c r="BX241" s="73"/>
      <c r="BY241" s="73"/>
      <c r="BZ241" s="73"/>
      <c r="CA241" s="73"/>
      <c r="CB241" s="73"/>
      <c r="CC241" s="73"/>
      <c r="CD241" s="73"/>
      <c r="CE241" s="73"/>
      <c r="CF241" s="73"/>
      <c r="CG241" s="73"/>
      <c r="CH241" s="73"/>
      <c r="CI241" s="73"/>
      <c r="CJ241" s="73"/>
      <c r="CK241" s="73"/>
      <c r="CL241" s="73"/>
      <c r="CM241" s="73"/>
      <c r="CN241" s="73"/>
      <c r="CO241" s="73"/>
      <c r="CP241" s="73"/>
      <c r="CQ241" s="73"/>
      <c r="CR241" s="73"/>
      <c r="CS241" s="73"/>
      <c r="CT241" s="73"/>
      <c r="CU241" s="73"/>
      <c r="CV241" s="73"/>
      <c r="CW241" s="73"/>
      <c r="CX241" s="73"/>
      <c r="CY241" s="73"/>
      <c r="CZ241" s="73"/>
      <c r="DA241" s="73"/>
      <c r="DB241" s="73"/>
      <c r="DC241" s="73"/>
      <c r="DD241" s="73"/>
      <c r="DE241" s="73"/>
      <c r="DF241" s="73"/>
      <c r="DG241" s="73"/>
      <c r="DH241" s="73"/>
      <c r="DI241" s="73"/>
      <c r="DJ241" s="73"/>
      <c r="DK241" s="73"/>
      <c r="DL241" s="73"/>
      <c r="DM241" s="73"/>
      <c r="DN241" s="73"/>
      <c r="DO241" s="73"/>
      <c r="DP241" s="73"/>
      <c r="DQ241" s="73"/>
      <c r="DR241" s="73"/>
      <c r="DS241" s="73"/>
      <c r="DT241" s="73"/>
      <c r="DU241" s="74"/>
      <c r="DV241" s="74"/>
      <c r="DW241" s="72"/>
      <c r="DX241" s="72"/>
      <c r="DY241" s="72"/>
      <c r="DZ241" s="75" t="s">
        <v>190</v>
      </c>
      <c r="EA241" s="76" t="s">
        <v>191</v>
      </c>
    </row>
    <row r="242" ht="21.75" customHeight="1">
      <c r="A242" s="64"/>
      <c r="B242" s="70"/>
      <c r="C242" s="71"/>
      <c r="D242" s="71"/>
      <c r="E242" s="71"/>
      <c r="F242" s="81" t="s">
        <v>55</v>
      </c>
      <c r="G242" s="73"/>
      <c r="H242" s="73"/>
      <c r="I242" s="73"/>
      <c r="J242" s="73"/>
      <c r="K242" s="73"/>
      <c r="L242" s="73"/>
      <c r="M242" s="73"/>
      <c r="N242" s="73"/>
      <c r="O242" s="73"/>
      <c r="P242" s="73"/>
      <c r="Q242" s="73"/>
      <c r="R242" s="73"/>
      <c r="S242" s="73"/>
      <c r="T242" s="73"/>
      <c r="U242" s="73"/>
      <c r="V242" s="73"/>
      <c r="W242" s="73"/>
      <c r="X242" s="73"/>
      <c r="Y242" s="73"/>
      <c r="Z242" s="73"/>
      <c r="AA242" s="73"/>
      <c r="AB242" s="73"/>
      <c r="AC242" s="73"/>
      <c r="AD242" s="73"/>
      <c r="AE242" s="73">
        <f t="shared" ref="AE242:AG242" si="1236">M242+S242+Y242</f>
        <v>0</v>
      </c>
      <c r="AF242" s="73">
        <f t="shared" si="1236"/>
        <v>0</v>
      </c>
      <c r="AG242" s="73">
        <f t="shared" si="1236"/>
        <v>0</v>
      </c>
      <c r="AH242" s="73"/>
      <c r="AI242" s="73"/>
      <c r="AJ242" s="73"/>
      <c r="AK242" s="73"/>
      <c r="AL242" s="73"/>
      <c r="AM242" s="73"/>
      <c r="AN242" s="73"/>
      <c r="AO242" s="73"/>
      <c r="AP242" s="73"/>
      <c r="AQ242" s="73"/>
      <c r="AR242" s="73"/>
      <c r="AS242" s="73"/>
      <c r="AT242" s="73"/>
      <c r="AU242" s="73"/>
      <c r="AV242" s="73"/>
      <c r="AW242" s="73">
        <v>0.0</v>
      </c>
      <c r="AX242" s="73">
        <v>0.0</v>
      </c>
      <c r="AY242" s="73">
        <v>0.0</v>
      </c>
      <c r="AZ242" s="73"/>
      <c r="BA242" s="73"/>
      <c r="BB242" s="73"/>
      <c r="BC242" s="73">
        <f t="shared" ref="BC242:BE242" si="1237">AQ242+AW242</f>
        <v>0</v>
      </c>
      <c r="BD242" s="73">
        <f t="shared" si="1237"/>
        <v>0</v>
      </c>
      <c r="BE242" s="73">
        <f t="shared" si="1237"/>
        <v>0</v>
      </c>
      <c r="BF242" s="73"/>
      <c r="BG242" s="73"/>
      <c r="BH242" s="73"/>
      <c r="BI242" s="73"/>
      <c r="BJ242" s="73"/>
      <c r="BK242" s="73"/>
      <c r="BL242" s="73"/>
      <c r="BM242" s="73"/>
      <c r="BN242" s="73"/>
      <c r="BO242" s="73"/>
      <c r="BP242" s="73"/>
      <c r="BQ242" s="73"/>
      <c r="BR242" s="73"/>
      <c r="BS242" s="73"/>
      <c r="BT242" s="73"/>
      <c r="BU242" s="73"/>
      <c r="BV242" s="73"/>
      <c r="BW242" s="73"/>
      <c r="BX242" s="73"/>
      <c r="BY242" s="73"/>
      <c r="BZ242" s="73"/>
      <c r="CA242" s="73"/>
      <c r="CB242" s="73"/>
      <c r="CC242" s="73"/>
      <c r="CD242" s="73"/>
      <c r="CE242" s="73"/>
      <c r="CF242" s="73"/>
      <c r="CG242" s="73"/>
      <c r="CH242" s="73"/>
      <c r="CI242" s="73"/>
      <c r="CJ242" s="73"/>
      <c r="CK242" s="73"/>
      <c r="CL242" s="73"/>
      <c r="CM242" s="73"/>
      <c r="CN242" s="73"/>
      <c r="CO242" s="73"/>
      <c r="CP242" s="73"/>
      <c r="CQ242" s="73"/>
      <c r="CR242" s="73"/>
      <c r="CS242" s="73"/>
      <c r="CT242" s="73"/>
      <c r="CU242" s="73"/>
      <c r="CV242" s="73"/>
      <c r="CW242" s="73"/>
      <c r="CX242" s="73"/>
      <c r="CY242" s="73"/>
      <c r="CZ242" s="73"/>
      <c r="DA242" s="73"/>
      <c r="DB242" s="73"/>
      <c r="DC242" s="73"/>
      <c r="DD242" s="73"/>
      <c r="DE242" s="73"/>
      <c r="DF242" s="73"/>
      <c r="DG242" s="73"/>
      <c r="DH242" s="73"/>
      <c r="DI242" s="73"/>
      <c r="DJ242" s="73"/>
      <c r="DK242" s="73"/>
      <c r="DL242" s="73"/>
      <c r="DM242" s="73"/>
      <c r="DN242" s="73"/>
      <c r="DO242" s="73"/>
      <c r="DP242" s="73"/>
      <c r="DQ242" s="73"/>
      <c r="DR242" s="73"/>
      <c r="DS242" s="73"/>
      <c r="DT242" s="73"/>
      <c r="DU242" s="74"/>
      <c r="DV242" s="74"/>
      <c r="DW242" s="72"/>
      <c r="DX242" s="72"/>
      <c r="DY242" s="72"/>
      <c r="DZ242" s="75"/>
      <c r="EA242" s="76"/>
    </row>
    <row r="243" ht="21.75" customHeight="1">
      <c r="A243" s="64"/>
      <c r="B243" s="70" t="s">
        <v>179</v>
      </c>
      <c r="C243" s="71" t="s">
        <v>192</v>
      </c>
      <c r="D243" s="71" t="s">
        <v>41</v>
      </c>
      <c r="E243" s="71" t="s">
        <v>76</v>
      </c>
      <c r="F243" s="72" t="s">
        <v>193</v>
      </c>
      <c r="G243" s="73">
        <v>152276.0</v>
      </c>
      <c r="H243" s="73">
        <v>61.0</v>
      </c>
      <c r="I243" s="73">
        <v>152215.0</v>
      </c>
      <c r="J243" s="73">
        <f>K243+L243</f>
        <v>0</v>
      </c>
      <c r="K243" s="73">
        <v>0.0</v>
      </c>
      <c r="L243" s="73">
        <v>0.0</v>
      </c>
      <c r="M243" s="73">
        <f>N243+O243</f>
        <v>0</v>
      </c>
      <c r="N243" s="73">
        <v>0.0</v>
      </c>
      <c r="O243" s="73">
        <v>0.0</v>
      </c>
      <c r="P243" s="73">
        <f>Q243+R243</f>
        <v>0</v>
      </c>
      <c r="Q243" s="73">
        <v>0.0</v>
      </c>
      <c r="R243" s="73">
        <v>0.0</v>
      </c>
      <c r="S243" s="73">
        <f>T243+U243</f>
        <v>0</v>
      </c>
      <c r="T243" s="73">
        <v>0.0</v>
      </c>
      <c r="U243" s="73">
        <v>0.0</v>
      </c>
      <c r="V243" s="73">
        <v>5857.0</v>
      </c>
      <c r="W243" s="73">
        <v>0.0</v>
      </c>
      <c r="X243" s="73">
        <v>5857.0</v>
      </c>
      <c r="Y243" s="73">
        <f>Z243+AA243</f>
        <v>0</v>
      </c>
      <c r="Z243" s="73">
        <v>0.0</v>
      </c>
      <c r="AA243" s="73">
        <v>0.0</v>
      </c>
      <c r="AB243" s="73">
        <f t="shared" ref="AB243:AG243" si="1238">J243+P243+V243</f>
        <v>5857</v>
      </c>
      <c r="AC243" s="73">
        <f t="shared" si="1238"/>
        <v>0</v>
      </c>
      <c r="AD243" s="73">
        <f t="shared" si="1238"/>
        <v>5857</v>
      </c>
      <c r="AE243" s="73">
        <f t="shared" si="1238"/>
        <v>0</v>
      </c>
      <c r="AF243" s="73">
        <f t="shared" si="1238"/>
        <v>0</v>
      </c>
      <c r="AG243" s="73">
        <f t="shared" si="1238"/>
        <v>0</v>
      </c>
      <c r="AH243" s="73">
        <v>974.6</v>
      </c>
      <c r="AI243" s="73">
        <v>10.0</v>
      </c>
      <c r="AJ243" s="73">
        <v>964.6</v>
      </c>
      <c r="AK243" s="73">
        <f>AL243+AM243</f>
        <v>0</v>
      </c>
      <c r="AL243" s="73">
        <v>0.0</v>
      </c>
      <c r="AM243" s="73">
        <v>0.0</v>
      </c>
      <c r="AN243" s="73">
        <f t="shared" ref="AN243:AS243" si="1239">AB243+AH243</f>
        <v>6831.6</v>
      </c>
      <c r="AO243" s="73">
        <f t="shared" si="1239"/>
        <v>10</v>
      </c>
      <c r="AP243" s="73">
        <f t="shared" si="1239"/>
        <v>6821.6</v>
      </c>
      <c r="AQ243" s="73">
        <f t="shared" si="1239"/>
        <v>0</v>
      </c>
      <c r="AR243" s="73">
        <f t="shared" si="1239"/>
        <v>0</v>
      </c>
      <c r="AS243" s="73">
        <f t="shared" si="1239"/>
        <v>0</v>
      </c>
      <c r="AT243" s="73">
        <v>1462.0</v>
      </c>
      <c r="AU243" s="73">
        <v>15.0</v>
      </c>
      <c r="AV243" s="73">
        <v>1447.0</v>
      </c>
      <c r="AW243" s="73">
        <v>0.0</v>
      </c>
      <c r="AX243" s="73">
        <v>0.0</v>
      </c>
      <c r="AY243" s="73">
        <v>0.0</v>
      </c>
      <c r="AZ243" s="73">
        <f t="shared" ref="AZ243:BE243" si="1240">AN243+AT243</f>
        <v>8293.6</v>
      </c>
      <c r="BA243" s="73">
        <f t="shared" si="1240"/>
        <v>25</v>
      </c>
      <c r="BB243" s="73">
        <f t="shared" si="1240"/>
        <v>8268.6</v>
      </c>
      <c r="BC243" s="73">
        <f t="shared" si="1240"/>
        <v>0</v>
      </c>
      <c r="BD243" s="73">
        <f t="shared" si="1240"/>
        <v>0</v>
      </c>
      <c r="BE243" s="73">
        <f t="shared" si="1240"/>
        <v>0</v>
      </c>
      <c r="BF243" s="73"/>
      <c r="BG243" s="73"/>
      <c r="BH243" s="73"/>
      <c r="BI243" s="73"/>
      <c r="BJ243" s="73"/>
      <c r="BK243" s="73"/>
      <c r="BL243" s="73"/>
      <c r="BM243" s="73"/>
      <c r="BN243" s="73"/>
      <c r="BO243" s="73"/>
      <c r="BP243" s="73"/>
      <c r="BQ243" s="73"/>
      <c r="BR243" s="73"/>
      <c r="BS243" s="73"/>
      <c r="BT243" s="73"/>
      <c r="BU243" s="73"/>
      <c r="BV243" s="73"/>
      <c r="BW243" s="73"/>
      <c r="BX243" s="73"/>
      <c r="BY243" s="73"/>
      <c r="BZ243" s="73"/>
      <c r="CA243" s="73"/>
      <c r="CB243" s="73"/>
      <c r="CC243" s="73"/>
      <c r="CD243" s="73"/>
      <c r="CE243" s="73"/>
      <c r="CF243" s="73"/>
      <c r="CG243" s="73"/>
      <c r="CH243" s="73"/>
      <c r="CI243" s="73"/>
      <c r="CJ243" s="73"/>
      <c r="CK243" s="73"/>
      <c r="CL243" s="73"/>
      <c r="CM243" s="73"/>
      <c r="CN243" s="73"/>
      <c r="CO243" s="73"/>
      <c r="CP243" s="73"/>
      <c r="CQ243" s="73"/>
      <c r="CR243" s="73"/>
      <c r="CS243" s="73"/>
      <c r="CT243" s="73"/>
      <c r="CU243" s="73"/>
      <c r="CV243" s="73"/>
      <c r="CW243" s="73"/>
      <c r="CX243" s="73"/>
      <c r="CY243" s="73"/>
      <c r="CZ243" s="73"/>
      <c r="DA243" s="73"/>
      <c r="DB243" s="73"/>
      <c r="DC243" s="73"/>
      <c r="DD243" s="73"/>
      <c r="DE243" s="73"/>
      <c r="DF243" s="73"/>
      <c r="DG243" s="73"/>
      <c r="DH243" s="73"/>
      <c r="DI243" s="73"/>
      <c r="DJ243" s="73"/>
      <c r="DK243" s="73"/>
      <c r="DL243" s="73"/>
      <c r="DM243" s="73"/>
      <c r="DN243" s="73"/>
      <c r="DO243" s="73"/>
      <c r="DP243" s="73"/>
      <c r="DQ243" s="73"/>
      <c r="DR243" s="73"/>
      <c r="DS243" s="73"/>
      <c r="DT243" s="73"/>
      <c r="DU243" s="74"/>
      <c r="DV243" s="74"/>
      <c r="DW243" s="72"/>
      <c r="DX243" s="72"/>
      <c r="DY243" s="72"/>
      <c r="DZ243" s="73"/>
      <c r="EA243" s="82" t="s">
        <v>194</v>
      </c>
    </row>
    <row r="244" ht="21.75" customHeight="1">
      <c r="A244" s="64"/>
      <c r="B244" s="70"/>
      <c r="C244" s="71"/>
      <c r="D244" s="71"/>
      <c r="E244" s="71"/>
      <c r="F244" s="81" t="s">
        <v>55</v>
      </c>
      <c r="G244" s="73"/>
      <c r="H244" s="73"/>
      <c r="I244" s="73"/>
      <c r="J244" s="73"/>
      <c r="K244" s="73"/>
      <c r="L244" s="73"/>
      <c r="M244" s="73"/>
      <c r="N244" s="73"/>
      <c r="O244" s="73"/>
      <c r="P244" s="73"/>
      <c r="Q244" s="73"/>
      <c r="R244" s="73"/>
      <c r="S244" s="73"/>
      <c r="T244" s="73"/>
      <c r="U244" s="73"/>
      <c r="V244" s="73"/>
      <c r="W244" s="73"/>
      <c r="X244" s="73"/>
      <c r="Y244" s="73"/>
      <c r="Z244" s="73"/>
      <c r="AA244" s="73"/>
      <c r="AB244" s="73"/>
      <c r="AC244" s="73"/>
      <c r="AD244" s="73"/>
      <c r="AE244" s="73">
        <f t="shared" ref="AE244:AG244" si="1241">M244+S244+Y244</f>
        <v>0</v>
      </c>
      <c r="AF244" s="73">
        <f t="shared" si="1241"/>
        <v>0</v>
      </c>
      <c r="AG244" s="73">
        <f t="shared" si="1241"/>
        <v>0</v>
      </c>
      <c r="AH244" s="73"/>
      <c r="AI244" s="73"/>
      <c r="AJ244" s="73"/>
      <c r="AK244" s="73"/>
      <c r="AL244" s="73"/>
      <c r="AM244" s="73"/>
      <c r="AN244" s="73"/>
      <c r="AO244" s="73"/>
      <c r="AP244" s="73"/>
      <c r="AQ244" s="73"/>
      <c r="AR244" s="73"/>
      <c r="AS244" s="73"/>
      <c r="AT244" s="73"/>
      <c r="AU244" s="73"/>
      <c r="AV244" s="73"/>
      <c r="AW244" s="73">
        <v>0.0</v>
      </c>
      <c r="AX244" s="73">
        <v>0.0</v>
      </c>
      <c r="AY244" s="73">
        <v>0.0</v>
      </c>
      <c r="AZ244" s="73"/>
      <c r="BA244" s="73"/>
      <c r="BB244" s="73"/>
      <c r="BC244" s="73">
        <f t="shared" ref="BC244:BE244" si="1242">AQ244+AW244</f>
        <v>0</v>
      </c>
      <c r="BD244" s="73">
        <f t="shared" si="1242"/>
        <v>0</v>
      </c>
      <c r="BE244" s="73">
        <f t="shared" si="1242"/>
        <v>0</v>
      </c>
      <c r="BF244" s="73"/>
      <c r="BG244" s="73"/>
      <c r="BH244" s="73"/>
      <c r="BI244" s="73"/>
      <c r="BJ244" s="73"/>
      <c r="BK244" s="73"/>
      <c r="BL244" s="73"/>
      <c r="BM244" s="73"/>
      <c r="BN244" s="73"/>
      <c r="BO244" s="73"/>
      <c r="BP244" s="73"/>
      <c r="BQ244" s="73"/>
      <c r="BR244" s="73"/>
      <c r="BS244" s="73"/>
      <c r="BT244" s="73"/>
      <c r="BU244" s="73"/>
      <c r="BV244" s="73"/>
      <c r="BW244" s="73"/>
      <c r="BX244" s="73"/>
      <c r="BY244" s="73"/>
      <c r="BZ244" s="73"/>
      <c r="CA244" s="73"/>
      <c r="CB244" s="73"/>
      <c r="CC244" s="73"/>
      <c r="CD244" s="73"/>
      <c r="CE244" s="73"/>
      <c r="CF244" s="73"/>
      <c r="CG244" s="73"/>
      <c r="CH244" s="73"/>
      <c r="CI244" s="73"/>
      <c r="CJ244" s="73"/>
      <c r="CK244" s="73"/>
      <c r="CL244" s="73"/>
      <c r="CM244" s="73"/>
      <c r="CN244" s="73"/>
      <c r="CO244" s="73"/>
      <c r="CP244" s="73"/>
      <c r="CQ244" s="73"/>
      <c r="CR244" s="73"/>
      <c r="CS244" s="73"/>
      <c r="CT244" s="73"/>
      <c r="CU244" s="73"/>
      <c r="CV244" s="73"/>
      <c r="CW244" s="73"/>
      <c r="CX244" s="73"/>
      <c r="CY244" s="73"/>
      <c r="CZ244" s="73"/>
      <c r="DA244" s="73"/>
      <c r="DB244" s="73"/>
      <c r="DC244" s="73"/>
      <c r="DD244" s="73"/>
      <c r="DE244" s="73"/>
      <c r="DF244" s="73"/>
      <c r="DG244" s="73"/>
      <c r="DH244" s="73"/>
      <c r="DI244" s="73"/>
      <c r="DJ244" s="73"/>
      <c r="DK244" s="73"/>
      <c r="DL244" s="73"/>
      <c r="DM244" s="73"/>
      <c r="DN244" s="73"/>
      <c r="DO244" s="73"/>
      <c r="DP244" s="73"/>
      <c r="DQ244" s="73"/>
      <c r="DR244" s="73"/>
      <c r="DS244" s="73"/>
      <c r="DT244" s="73"/>
      <c r="DU244" s="74"/>
      <c r="DV244" s="74"/>
      <c r="DW244" s="72"/>
      <c r="DX244" s="72"/>
      <c r="DY244" s="72"/>
      <c r="DZ244" s="73"/>
      <c r="EA244" s="82"/>
    </row>
    <row r="245" ht="21.75" customHeight="1">
      <c r="A245" s="64"/>
      <c r="B245" s="70" t="s">
        <v>179</v>
      </c>
      <c r="C245" s="71" t="s">
        <v>195</v>
      </c>
      <c r="D245" s="71" t="s">
        <v>41</v>
      </c>
      <c r="E245" s="71" t="s">
        <v>76</v>
      </c>
      <c r="F245" s="107" t="s">
        <v>196</v>
      </c>
      <c r="G245" s="73">
        <v>178130.0</v>
      </c>
      <c r="H245" s="73">
        <v>0.0</v>
      </c>
      <c r="I245" s="73">
        <v>178130.0</v>
      </c>
      <c r="J245" s="73">
        <f>K245+L245</f>
        <v>0</v>
      </c>
      <c r="K245" s="73">
        <v>0.0</v>
      </c>
      <c r="L245" s="73">
        <v>0.0</v>
      </c>
      <c r="M245" s="73">
        <f>N245+O245</f>
        <v>0</v>
      </c>
      <c r="N245" s="73">
        <v>0.0</v>
      </c>
      <c r="O245" s="73">
        <v>0.0</v>
      </c>
      <c r="P245" s="73">
        <f>Q245+R245</f>
        <v>0</v>
      </c>
      <c r="Q245" s="73">
        <v>0.0</v>
      </c>
      <c r="R245" s="73">
        <v>0.0</v>
      </c>
      <c r="S245" s="73">
        <f>T245+U245</f>
        <v>0</v>
      </c>
      <c r="T245" s="73">
        <v>0.0</v>
      </c>
      <c r="U245" s="73">
        <v>0.0</v>
      </c>
      <c r="V245" s="73">
        <v>6854.0</v>
      </c>
      <c r="W245" s="73">
        <v>0.0</v>
      </c>
      <c r="X245" s="73">
        <v>6854.0</v>
      </c>
      <c r="Y245" s="73">
        <f>Z245+AA245</f>
        <v>0</v>
      </c>
      <c r="Z245" s="73">
        <v>0.0</v>
      </c>
      <c r="AA245" s="73">
        <v>0.0</v>
      </c>
      <c r="AB245" s="73">
        <f t="shared" ref="AB245:AG245" si="1243">J245+P245+V245</f>
        <v>6854</v>
      </c>
      <c r="AC245" s="73">
        <f t="shared" si="1243"/>
        <v>0</v>
      </c>
      <c r="AD245" s="73">
        <f t="shared" si="1243"/>
        <v>6854</v>
      </c>
      <c r="AE245" s="73">
        <f t="shared" si="1243"/>
        <v>0</v>
      </c>
      <c r="AF245" s="73">
        <f t="shared" si="1243"/>
        <v>0</v>
      </c>
      <c r="AG245" s="73">
        <f t="shared" si="1243"/>
        <v>0</v>
      </c>
      <c r="AH245" s="73">
        <v>1129.0</v>
      </c>
      <c r="AI245" s="73">
        <v>0.0</v>
      </c>
      <c r="AJ245" s="73">
        <v>1129.0</v>
      </c>
      <c r="AK245" s="73">
        <f>AL245+AM245</f>
        <v>0</v>
      </c>
      <c r="AL245" s="73">
        <v>0.0</v>
      </c>
      <c r="AM245" s="73">
        <v>0.0</v>
      </c>
      <c r="AN245" s="73">
        <f t="shared" ref="AN245:AS245" si="1244">AB245+AH245</f>
        <v>7983</v>
      </c>
      <c r="AO245" s="73">
        <f t="shared" si="1244"/>
        <v>0</v>
      </c>
      <c r="AP245" s="73">
        <f t="shared" si="1244"/>
        <v>7983</v>
      </c>
      <c r="AQ245" s="73">
        <f t="shared" si="1244"/>
        <v>0</v>
      </c>
      <c r="AR245" s="73">
        <f t="shared" si="1244"/>
        <v>0</v>
      </c>
      <c r="AS245" s="73">
        <f t="shared" si="1244"/>
        <v>0</v>
      </c>
      <c r="AT245" s="73">
        <v>1693.5</v>
      </c>
      <c r="AU245" s="73">
        <v>0.0</v>
      </c>
      <c r="AV245" s="73">
        <v>1693.5</v>
      </c>
      <c r="AW245" s="73">
        <v>0.0</v>
      </c>
      <c r="AX245" s="73">
        <v>0.0</v>
      </c>
      <c r="AY245" s="73">
        <v>0.0</v>
      </c>
      <c r="AZ245" s="73">
        <f t="shared" ref="AZ245:BE245" si="1245">AN245+AT245</f>
        <v>9676.5</v>
      </c>
      <c r="BA245" s="73">
        <f t="shared" si="1245"/>
        <v>0</v>
      </c>
      <c r="BB245" s="73">
        <f t="shared" si="1245"/>
        <v>9676.5</v>
      </c>
      <c r="BC245" s="73">
        <f t="shared" si="1245"/>
        <v>0</v>
      </c>
      <c r="BD245" s="73">
        <f t="shared" si="1245"/>
        <v>0</v>
      </c>
      <c r="BE245" s="73">
        <f t="shared" si="1245"/>
        <v>0</v>
      </c>
      <c r="BF245" s="73"/>
      <c r="BG245" s="73"/>
      <c r="BH245" s="73"/>
      <c r="BI245" s="73"/>
      <c r="BJ245" s="73"/>
      <c r="BK245" s="73"/>
      <c r="BL245" s="73"/>
      <c r="BM245" s="73"/>
      <c r="BN245" s="73"/>
      <c r="BO245" s="73"/>
      <c r="BP245" s="73"/>
      <c r="BQ245" s="73"/>
      <c r="BR245" s="73"/>
      <c r="BS245" s="73"/>
      <c r="BT245" s="73"/>
      <c r="BU245" s="73"/>
      <c r="BV245" s="73"/>
      <c r="BW245" s="73"/>
      <c r="BX245" s="73"/>
      <c r="BY245" s="73"/>
      <c r="BZ245" s="73"/>
      <c r="CA245" s="73"/>
      <c r="CB245" s="73"/>
      <c r="CC245" s="73"/>
      <c r="CD245" s="73"/>
      <c r="CE245" s="73"/>
      <c r="CF245" s="73"/>
      <c r="CG245" s="73"/>
      <c r="CH245" s="73"/>
      <c r="CI245" s="73"/>
      <c r="CJ245" s="73"/>
      <c r="CK245" s="73"/>
      <c r="CL245" s="73"/>
      <c r="CM245" s="73"/>
      <c r="CN245" s="73"/>
      <c r="CO245" s="73"/>
      <c r="CP245" s="73"/>
      <c r="CQ245" s="73"/>
      <c r="CR245" s="73"/>
      <c r="CS245" s="73"/>
      <c r="CT245" s="73"/>
      <c r="CU245" s="73"/>
      <c r="CV245" s="73"/>
      <c r="CW245" s="73"/>
      <c r="CX245" s="73"/>
      <c r="CY245" s="73"/>
      <c r="CZ245" s="73"/>
      <c r="DA245" s="73"/>
      <c r="DB245" s="73"/>
      <c r="DC245" s="73"/>
      <c r="DD245" s="73"/>
      <c r="DE245" s="73"/>
      <c r="DF245" s="73"/>
      <c r="DG245" s="73"/>
      <c r="DH245" s="73"/>
      <c r="DI245" s="73"/>
      <c r="DJ245" s="73"/>
      <c r="DK245" s="73"/>
      <c r="DL245" s="73"/>
      <c r="DM245" s="73"/>
      <c r="DN245" s="73"/>
      <c r="DO245" s="73"/>
      <c r="DP245" s="73"/>
      <c r="DQ245" s="73"/>
      <c r="DR245" s="73"/>
      <c r="DS245" s="73"/>
      <c r="DT245" s="73"/>
      <c r="DU245" s="74"/>
      <c r="DV245" s="74"/>
      <c r="DW245" s="72"/>
      <c r="DX245" s="72"/>
      <c r="DY245" s="72"/>
      <c r="DZ245" s="73"/>
      <c r="EA245" s="82" t="s">
        <v>197</v>
      </c>
    </row>
    <row r="246" ht="21.75" customHeight="1">
      <c r="A246" s="64"/>
      <c r="B246" s="70"/>
      <c r="C246" s="71"/>
      <c r="D246" s="71"/>
      <c r="E246" s="71"/>
      <c r="F246" s="81" t="s">
        <v>55</v>
      </c>
      <c r="G246" s="73"/>
      <c r="H246" s="73"/>
      <c r="I246" s="73"/>
      <c r="J246" s="73"/>
      <c r="K246" s="73"/>
      <c r="L246" s="73"/>
      <c r="M246" s="73"/>
      <c r="N246" s="73"/>
      <c r="O246" s="73"/>
      <c r="P246" s="73"/>
      <c r="Q246" s="73"/>
      <c r="R246" s="73"/>
      <c r="S246" s="73"/>
      <c r="T246" s="73"/>
      <c r="U246" s="73"/>
      <c r="V246" s="73"/>
      <c r="W246" s="73"/>
      <c r="X246" s="73"/>
      <c r="Y246" s="73"/>
      <c r="Z246" s="73"/>
      <c r="AA246" s="73"/>
      <c r="AB246" s="73"/>
      <c r="AC246" s="73"/>
      <c r="AD246" s="73"/>
      <c r="AE246" s="73">
        <f t="shared" ref="AE246:AG246" si="1246">M246+S246+Y246</f>
        <v>0</v>
      </c>
      <c r="AF246" s="73">
        <f t="shared" si="1246"/>
        <v>0</v>
      </c>
      <c r="AG246" s="73">
        <f t="shared" si="1246"/>
        <v>0</v>
      </c>
      <c r="AH246" s="73"/>
      <c r="AI246" s="73"/>
      <c r="AJ246" s="73"/>
      <c r="AK246" s="73"/>
      <c r="AL246" s="73"/>
      <c r="AM246" s="73"/>
      <c r="AN246" s="73"/>
      <c r="AO246" s="73"/>
      <c r="AP246" s="73"/>
      <c r="AQ246" s="73"/>
      <c r="AR246" s="73"/>
      <c r="AS246" s="73"/>
      <c r="AT246" s="73"/>
      <c r="AU246" s="73"/>
      <c r="AV246" s="73"/>
      <c r="AW246" s="73">
        <v>0.0</v>
      </c>
      <c r="AX246" s="73">
        <v>0.0</v>
      </c>
      <c r="AY246" s="73">
        <v>0.0</v>
      </c>
      <c r="AZ246" s="73"/>
      <c r="BA246" s="73"/>
      <c r="BB246" s="73"/>
      <c r="BC246" s="73">
        <f t="shared" ref="BC246:BE246" si="1247">AQ246+AW246</f>
        <v>0</v>
      </c>
      <c r="BD246" s="73">
        <f t="shared" si="1247"/>
        <v>0</v>
      </c>
      <c r="BE246" s="73">
        <f t="shared" si="1247"/>
        <v>0</v>
      </c>
      <c r="BF246" s="73"/>
      <c r="BG246" s="73"/>
      <c r="BH246" s="73"/>
      <c r="BI246" s="73"/>
      <c r="BJ246" s="73"/>
      <c r="BK246" s="73"/>
      <c r="BL246" s="73"/>
      <c r="BM246" s="73"/>
      <c r="BN246" s="73"/>
      <c r="BO246" s="73"/>
      <c r="BP246" s="73"/>
      <c r="BQ246" s="73"/>
      <c r="BR246" s="73"/>
      <c r="BS246" s="73"/>
      <c r="BT246" s="73"/>
      <c r="BU246" s="73"/>
      <c r="BV246" s="73"/>
      <c r="BW246" s="73"/>
      <c r="BX246" s="73"/>
      <c r="BY246" s="73"/>
      <c r="BZ246" s="73"/>
      <c r="CA246" s="73"/>
      <c r="CB246" s="73"/>
      <c r="CC246" s="73"/>
      <c r="CD246" s="73"/>
      <c r="CE246" s="73"/>
      <c r="CF246" s="73"/>
      <c r="CG246" s="73"/>
      <c r="CH246" s="73"/>
      <c r="CI246" s="73"/>
      <c r="CJ246" s="73"/>
      <c r="CK246" s="73"/>
      <c r="CL246" s="73"/>
      <c r="CM246" s="73"/>
      <c r="CN246" s="73"/>
      <c r="CO246" s="73"/>
      <c r="CP246" s="73"/>
      <c r="CQ246" s="73"/>
      <c r="CR246" s="73"/>
      <c r="CS246" s="73"/>
      <c r="CT246" s="73"/>
      <c r="CU246" s="73"/>
      <c r="CV246" s="73"/>
      <c r="CW246" s="73"/>
      <c r="CX246" s="73"/>
      <c r="CY246" s="73"/>
      <c r="CZ246" s="73"/>
      <c r="DA246" s="73"/>
      <c r="DB246" s="73"/>
      <c r="DC246" s="73"/>
      <c r="DD246" s="73"/>
      <c r="DE246" s="73"/>
      <c r="DF246" s="73"/>
      <c r="DG246" s="73"/>
      <c r="DH246" s="73"/>
      <c r="DI246" s="73"/>
      <c r="DJ246" s="73"/>
      <c r="DK246" s="73"/>
      <c r="DL246" s="73"/>
      <c r="DM246" s="73"/>
      <c r="DN246" s="73"/>
      <c r="DO246" s="73"/>
      <c r="DP246" s="73"/>
      <c r="DQ246" s="73"/>
      <c r="DR246" s="73"/>
      <c r="DS246" s="73"/>
      <c r="DT246" s="73"/>
      <c r="DU246" s="74"/>
      <c r="DV246" s="74"/>
      <c r="DW246" s="72"/>
      <c r="DX246" s="72"/>
      <c r="DY246" s="72"/>
      <c r="DZ246" s="73"/>
      <c r="EA246" s="82"/>
    </row>
    <row r="247" ht="21.75" customHeight="1">
      <c r="A247" s="64"/>
      <c r="B247" s="70" t="s">
        <v>179</v>
      </c>
      <c r="C247" s="71" t="s">
        <v>198</v>
      </c>
      <c r="D247" s="71" t="s">
        <v>41</v>
      </c>
      <c r="E247" s="71" t="s">
        <v>76</v>
      </c>
      <c r="F247" s="107" t="s">
        <v>199</v>
      </c>
      <c r="G247" s="73">
        <v>771829.0</v>
      </c>
      <c r="H247" s="73">
        <v>0.0</v>
      </c>
      <c r="I247" s="73">
        <v>771829.0</v>
      </c>
      <c r="J247" s="73">
        <f>K247+L247</f>
        <v>0</v>
      </c>
      <c r="K247" s="73">
        <v>0.0</v>
      </c>
      <c r="L247" s="73">
        <v>0.0</v>
      </c>
      <c r="M247" s="73">
        <f>N247+O247</f>
        <v>0</v>
      </c>
      <c r="N247" s="73">
        <v>0.0</v>
      </c>
      <c r="O247" s="73">
        <v>0.0</v>
      </c>
      <c r="P247" s="73">
        <f>Q247+R247</f>
        <v>0</v>
      </c>
      <c r="Q247" s="73">
        <v>0.0</v>
      </c>
      <c r="R247" s="73">
        <v>0.0</v>
      </c>
      <c r="S247" s="73">
        <f>T247+U247</f>
        <v>0</v>
      </c>
      <c r="T247" s="73">
        <v>0.0</v>
      </c>
      <c r="U247" s="73">
        <v>0.0</v>
      </c>
      <c r="V247" s="73">
        <v>29697.0</v>
      </c>
      <c r="W247" s="73">
        <v>0.0</v>
      </c>
      <c r="X247" s="73">
        <v>29697.0</v>
      </c>
      <c r="Y247" s="73">
        <f>Z247+AA247</f>
        <v>0</v>
      </c>
      <c r="Z247" s="73">
        <v>0.0</v>
      </c>
      <c r="AA247" s="73">
        <v>0.0</v>
      </c>
      <c r="AB247" s="73">
        <f t="shared" ref="AB247:AG247" si="1248">J247+P247+V247</f>
        <v>29697</v>
      </c>
      <c r="AC247" s="73">
        <f t="shared" si="1248"/>
        <v>0</v>
      </c>
      <c r="AD247" s="73">
        <f t="shared" si="1248"/>
        <v>29697</v>
      </c>
      <c r="AE247" s="73">
        <f t="shared" si="1248"/>
        <v>0</v>
      </c>
      <c r="AF247" s="73">
        <f t="shared" si="1248"/>
        <v>0</v>
      </c>
      <c r="AG247" s="73">
        <f t="shared" si="1248"/>
        <v>0</v>
      </c>
      <c r="AH247" s="73">
        <v>4892.0</v>
      </c>
      <c r="AI247" s="73">
        <v>0.0</v>
      </c>
      <c r="AJ247" s="73">
        <v>4892.0</v>
      </c>
      <c r="AK247" s="73">
        <f>AL247+AM247</f>
        <v>127883.036</v>
      </c>
      <c r="AL247" s="73">
        <v>0.0</v>
      </c>
      <c r="AM247" s="73">
        <v>127883.03599</v>
      </c>
      <c r="AN247" s="73">
        <f t="shared" ref="AN247:AS247" si="1249">AB247+AH247</f>
        <v>34589</v>
      </c>
      <c r="AO247" s="73">
        <f t="shared" si="1249"/>
        <v>0</v>
      </c>
      <c r="AP247" s="73">
        <f t="shared" si="1249"/>
        <v>34589</v>
      </c>
      <c r="AQ247" s="73">
        <f t="shared" si="1249"/>
        <v>127883.036</v>
      </c>
      <c r="AR247" s="73">
        <f t="shared" si="1249"/>
        <v>0</v>
      </c>
      <c r="AS247" s="73">
        <f t="shared" si="1249"/>
        <v>127883.036</v>
      </c>
      <c r="AT247" s="73">
        <v>7337.4</v>
      </c>
      <c r="AU247" s="73">
        <v>0.0</v>
      </c>
      <c r="AV247" s="73">
        <v>7337.4</v>
      </c>
      <c r="AW247" s="73">
        <v>0.0</v>
      </c>
      <c r="AX247" s="73">
        <v>0.0</v>
      </c>
      <c r="AY247" s="73">
        <v>0.0</v>
      </c>
      <c r="AZ247" s="73">
        <f t="shared" ref="AZ247:BE247" si="1250">AN247+AT247</f>
        <v>41926.4</v>
      </c>
      <c r="BA247" s="73">
        <f t="shared" si="1250"/>
        <v>0</v>
      </c>
      <c r="BB247" s="73">
        <f t="shared" si="1250"/>
        <v>41926.4</v>
      </c>
      <c r="BC247" s="73">
        <f t="shared" si="1250"/>
        <v>127883.036</v>
      </c>
      <c r="BD247" s="73">
        <f t="shared" si="1250"/>
        <v>0</v>
      </c>
      <c r="BE247" s="73">
        <f t="shared" si="1250"/>
        <v>127883.036</v>
      </c>
      <c r="BF247" s="73"/>
      <c r="BG247" s="73"/>
      <c r="BH247" s="73"/>
      <c r="BI247" s="73"/>
      <c r="BJ247" s="73"/>
      <c r="BK247" s="73"/>
      <c r="BL247" s="73"/>
      <c r="BM247" s="73"/>
      <c r="BN247" s="73"/>
      <c r="BO247" s="73"/>
      <c r="BP247" s="73"/>
      <c r="BQ247" s="73"/>
      <c r="BR247" s="73"/>
      <c r="BS247" s="73"/>
      <c r="BT247" s="73"/>
      <c r="BU247" s="73"/>
      <c r="BV247" s="73"/>
      <c r="BW247" s="73"/>
      <c r="BX247" s="73"/>
      <c r="BY247" s="73"/>
      <c r="BZ247" s="73"/>
      <c r="CA247" s="73"/>
      <c r="CB247" s="73"/>
      <c r="CC247" s="73"/>
      <c r="CD247" s="73"/>
      <c r="CE247" s="73"/>
      <c r="CF247" s="73"/>
      <c r="CG247" s="73"/>
      <c r="CH247" s="73"/>
      <c r="CI247" s="73"/>
      <c r="CJ247" s="73"/>
      <c r="CK247" s="73"/>
      <c r="CL247" s="73"/>
      <c r="CM247" s="73"/>
      <c r="CN247" s="73"/>
      <c r="CO247" s="73"/>
      <c r="CP247" s="73"/>
      <c r="CQ247" s="73"/>
      <c r="CR247" s="73"/>
      <c r="CS247" s="73"/>
      <c r="CT247" s="73"/>
      <c r="CU247" s="73"/>
      <c r="CV247" s="73"/>
      <c r="CW247" s="73"/>
      <c r="CX247" s="73"/>
      <c r="CY247" s="73"/>
      <c r="CZ247" s="73"/>
      <c r="DA247" s="73"/>
      <c r="DB247" s="73"/>
      <c r="DC247" s="73"/>
      <c r="DD247" s="73"/>
      <c r="DE247" s="73"/>
      <c r="DF247" s="73"/>
      <c r="DG247" s="73"/>
      <c r="DH247" s="73"/>
      <c r="DI247" s="73"/>
      <c r="DJ247" s="73"/>
      <c r="DK247" s="73"/>
      <c r="DL247" s="73"/>
      <c r="DM247" s="73"/>
      <c r="DN247" s="73"/>
      <c r="DO247" s="73"/>
      <c r="DP247" s="73"/>
      <c r="DQ247" s="73"/>
      <c r="DR247" s="73"/>
      <c r="DS247" s="73"/>
      <c r="DT247" s="73"/>
      <c r="DU247" s="74"/>
      <c r="DV247" s="74"/>
      <c r="DW247" s="72"/>
      <c r="DX247" s="72"/>
      <c r="DY247" s="72"/>
      <c r="DZ247" s="73"/>
      <c r="EA247" s="82" t="s">
        <v>200</v>
      </c>
    </row>
    <row r="248" ht="21.75" customHeight="1">
      <c r="A248" s="64"/>
      <c r="B248" s="70"/>
      <c r="C248" s="71"/>
      <c r="D248" s="71"/>
      <c r="E248" s="71"/>
      <c r="F248" s="81" t="s">
        <v>55</v>
      </c>
      <c r="G248" s="73"/>
      <c r="H248" s="73"/>
      <c r="I248" s="73"/>
      <c r="J248" s="73"/>
      <c r="K248" s="73"/>
      <c r="L248" s="73"/>
      <c r="M248" s="73"/>
      <c r="N248" s="73"/>
      <c r="O248" s="73"/>
      <c r="P248" s="73"/>
      <c r="Q248" s="73"/>
      <c r="R248" s="73"/>
      <c r="S248" s="73"/>
      <c r="T248" s="73"/>
      <c r="U248" s="73"/>
      <c r="V248" s="73"/>
      <c r="W248" s="73"/>
      <c r="X248" s="73"/>
      <c r="Y248" s="73"/>
      <c r="Z248" s="73"/>
      <c r="AA248" s="73"/>
      <c r="AB248" s="73"/>
      <c r="AC248" s="73"/>
      <c r="AD248" s="73"/>
      <c r="AE248" s="73">
        <f t="shared" ref="AE248:AG248" si="1251">M248+S248+Y248</f>
        <v>0</v>
      </c>
      <c r="AF248" s="73">
        <f t="shared" si="1251"/>
        <v>0</v>
      </c>
      <c r="AG248" s="73">
        <f t="shared" si="1251"/>
        <v>0</v>
      </c>
      <c r="AH248" s="73"/>
      <c r="AI248" s="73"/>
      <c r="AJ248" s="73"/>
      <c r="AK248" s="73"/>
      <c r="AL248" s="73"/>
      <c r="AM248" s="73"/>
      <c r="AN248" s="73"/>
      <c r="AO248" s="73"/>
      <c r="AP248" s="73"/>
      <c r="AQ248" s="73"/>
      <c r="AR248" s="73"/>
      <c r="AS248" s="73"/>
      <c r="AT248" s="73"/>
      <c r="AU248" s="73"/>
      <c r="AV248" s="73"/>
      <c r="AW248" s="73">
        <v>0.0</v>
      </c>
      <c r="AX248" s="73">
        <v>0.0</v>
      </c>
      <c r="AY248" s="73">
        <v>0.0</v>
      </c>
      <c r="AZ248" s="73"/>
      <c r="BA248" s="73"/>
      <c r="BB248" s="73"/>
      <c r="BC248" s="73">
        <f t="shared" ref="BC248:BE248" si="1252">AQ248+AW248</f>
        <v>0</v>
      </c>
      <c r="BD248" s="73">
        <f t="shared" si="1252"/>
        <v>0</v>
      </c>
      <c r="BE248" s="73">
        <f t="shared" si="1252"/>
        <v>0</v>
      </c>
      <c r="BF248" s="73"/>
      <c r="BG248" s="73"/>
      <c r="BH248" s="73"/>
      <c r="BI248" s="73"/>
      <c r="BJ248" s="73"/>
      <c r="BK248" s="73"/>
      <c r="BL248" s="73"/>
      <c r="BM248" s="73"/>
      <c r="BN248" s="73"/>
      <c r="BO248" s="73"/>
      <c r="BP248" s="73"/>
      <c r="BQ248" s="73"/>
      <c r="BR248" s="73"/>
      <c r="BS248" s="73"/>
      <c r="BT248" s="73"/>
      <c r="BU248" s="73"/>
      <c r="BV248" s="73"/>
      <c r="BW248" s="73"/>
      <c r="BX248" s="73"/>
      <c r="BY248" s="73"/>
      <c r="BZ248" s="73"/>
      <c r="CA248" s="73"/>
      <c r="CB248" s="73"/>
      <c r="CC248" s="73"/>
      <c r="CD248" s="73"/>
      <c r="CE248" s="73"/>
      <c r="CF248" s="73"/>
      <c r="CG248" s="73"/>
      <c r="CH248" s="73"/>
      <c r="CI248" s="73"/>
      <c r="CJ248" s="73"/>
      <c r="CK248" s="73"/>
      <c r="CL248" s="73"/>
      <c r="CM248" s="73"/>
      <c r="CN248" s="73"/>
      <c r="CO248" s="73"/>
      <c r="CP248" s="73"/>
      <c r="CQ248" s="73"/>
      <c r="CR248" s="73"/>
      <c r="CS248" s="73"/>
      <c r="CT248" s="73"/>
      <c r="CU248" s="73"/>
      <c r="CV248" s="73"/>
      <c r="CW248" s="73"/>
      <c r="CX248" s="73"/>
      <c r="CY248" s="73"/>
      <c r="CZ248" s="73"/>
      <c r="DA248" s="73"/>
      <c r="DB248" s="73"/>
      <c r="DC248" s="73"/>
      <c r="DD248" s="73"/>
      <c r="DE248" s="73"/>
      <c r="DF248" s="73"/>
      <c r="DG248" s="73"/>
      <c r="DH248" s="73"/>
      <c r="DI248" s="73"/>
      <c r="DJ248" s="73"/>
      <c r="DK248" s="73"/>
      <c r="DL248" s="73"/>
      <c r="DM248" s="73"/>
      <c r="DN248" s="73"/>
      <c r="DO248" s="73"/>
      <c r="DP248" s="73"/>
      <c r="DQ248" s="73"/>
      <c r="DR248" s="73"/>
      <c r="DS248" s="73"/>
      <c r="DT248" s="73"/>
      <c r="DU248" s="74"/>
      <c r="DV248" s="74"/>
      <c r="DW248" s="72"/>
      <c r="DX248" s="72"/>
      <c r="DY248" s="72"/>
      <c r="DZ248" s="73"/>
      <c r="EA248" s="82"/>
    </row>
    <row r="249" ht="24.75" customHeight="1">
      <c r="A249" s="64"/>
      <c r="B249" s="70" t="s">
        <v>179</v>
      </c>
      <c r="C249" s="71" t="s">
        <v>201</v>
      </c>
      <c r="D249" s="71" t="s">
        <v>41</v>
      </c>
      <c r="E249" s="71" t="s">
        <v>44</v>
      </c>
      <c r="F249" s="106" t="s">
        <v>202</v>
      </c>
      <c r="G249" s="73">
        <v>88733.0</v>
      </c>
      <c r="H249" s="73">
        <v>0.0</v>
      </c>
      <c r="I249" s="73">
        <v>88733.0</v>
      </c>
      <c r="J249" s="73">
        <v>0.0</v>
      </c>
      <c r="K249" s="73">
        <v>0.0</v>
      </c>
      <c r="L249" s="73">
        <v>0.0</v>
      </c>
      <c r="M249" s="73">
        <f>N249+O249</f>
        <v>0</v>
      </c>
      <c r="N249" s="73">
        <v>0.0</v>
      </c>
      <c r="O249" s="73">
        <v>0.0</v>
      </c>
      <c r="P249" s="73">
        <f>Q249+R249</f>
        <v>0</v>
      </c>
      <c r="Q249" s="73">
        <v>0.0</v>
      </c>
      <c r="R249" s="73">
        <v>0.0</v>
      </c>
      <c r="S249" s="73">
        <f>T249+U249</f>
        <v>0</v>
      </c>
      <c r="T249" s="73">
        <v>0.0</v>
      </c>
      <c r="U249" s="73">
        <v>0.0</v>
      </c>
      <c r="V249" s="73">
        <v>3414.0</v>
      </c>
      <c r="W249" s="73">
        <v>0.0</v>
      </c>
      <c r="X249" s="73">
        <v>3414.0</v>
      </c>
      <c r="Y249" s="73">
        <f>Z249+AA249</f>
        <v>0</v>
      </c>
      <c r="Z249" s="73">
        <v>0.0</v>
      </c>
      <c r="AA249" s="73">
        <v>0.0</v>
      </c>
      <c r="AB249" s="73">
        <f t="shared" ref="AB249:AG249" si="1253">J249+P249+V249</f>
        <v>3414</v>
      </c>
      <c r="AC249" s="73">
        <f t="shared" si="1253"/>
        <v>0</v>
      </c>
      <c r="AD249" s="73">
        <f t="shared" si="1253"/>
        <v>3414</v>
      </c>
      <c r="AE249" s="73">
        <f t="shared" si="1253"/>
        <v>0</v>
      </c>
      <c r="AF249" s="73">
        <f t="shared" si="1253"/>
        <v>0</v>
      </c>
      <c r="AG249" s="73">
        <f t="shared" si="1253"/>
        <v>0</v>
      </c>
      <c r="AH249" s="73">
        <v>562.4</v>
      </c>
      <c r="AI249" s="73">
        <v>0.0</v>
      </c>
      <c r="AJ249" s="73">
        <v>562.4</v>
      </c>
      <c r="AK249" s="73">
        <f>AL249+AM249</f>
        <v>2663</v>
      </c>
      <c r="AL249" s="73">
        <v>0.0</v>
      </c>
      <c r="AM249" s="73">
        <v>2663.0</v>
      </c>
      <c r="AN249" s="73">
        <f t="shared" ref="AN249:AS249" si="1254">AB249+AH249</f>
        <v>3976.4</v>
      </c>
      <c r="AO249" s="73">
        <f t="shared" si="1254"/>
        <v>0</v>
      </c>
      <c r="AP249" s="73">
        <f t="shared" si="1254"/>
        <v>3976.4</v>
      </c>
      <c r="AQ249" s="73">
        <f t="shared" si="1254"/>
        <v>2663</v>
      </c>
      <c r="AR249" s="73">
        <f t="shared" si="1254"/>
        <v>0</v>
      </c>
      <c r="AS249" s="73">
        <f t="shared" si="1254"/>
        <v>2663</v>
      </c>
      <c r="AT249" s="73">
        <v>843.6</v>
      </c>
      <c r="AU249" s="73">
        <v>0.0</v>
      </c>
      <c r="AV249" s="73">
        <v>843.6</v>
      </c>
      <c r="AW249" s="73">
        <v>0.0</v>
      </c>
      <c r="AX249" s="73">
        <v>0.0</v>
      </c>
      <c r="AY249" s="73">
        <v>0.0</v>
      </c>
      <c r="AZ249" s="73">
        <f t="shared" ref="AZ249:BE249" si="1255">AN249+AT249</f>
        <v>4820</v>
      </c>
      <c r="BA249" s="73">
        <f t="shared" si="1255"/>
        <v>0</v>
      </c>
      <c r="BB249" s="73">
        <f t="shared" si="1255"/>
        <v>4820</v>
      </c>
      <c r="BC249" s="73">
        <f t="shared" si="1255"/>
        <v>2663</v>
      </c>
      <c r="BD249" s="73">
        <f t="shared" si="1255"/>
        <v>0</v>
      </c>
      <c r="BE249" s="73">
        <f t="shared" si="1255"/>
        <v>2663</v>
      </c>
      <c r="BF249" s="73"/>
      <c r="BG249" s="73"/>
      <c r="BH249" s="73"/>
      <c r="BI249" s="73"/>
      <c r="BJ249" s="73"/>
      <c r="BK249" s="73"/>
      <c r="BL249" s="73"/>
      <c r="BM249" s="73"/>
      <c r="BN249" s="73"/>
      <c r="BO249" s="73"/>
      <c r="BP249" s="73"/>
      <c r="BQ249" s="73"/>
      <c r="BR249" s="73"/>
      <c r="BS249" s="73"/>
      <c r="BT249" s="73"/>
      <c r="BU249" s="73"/>
      <c r="BV249" s="73"/>
      <c r="BW249" s="73"/>
      <c r="BX249" s="73"/>
      <c r="BY249" s="73"/>
      <c r="BZ249" s="73"/>
      <c r="CA249" s="73"/>
      <c r="CB249" s="73"/>
      <c r="CC249" s="73"/>
      <c r="CD249" s="73"/>
      <c r="CE249" s="73"/>
      <c r="CF249" s="73"/>
      <c r="CG249" s="73"/>
      <c r="CH249" s="73"/>
      <c r="CI249" s="73"/>
      <c r="CJ249" s="73"/>
      <c r="CK249" s="73"/>
      <c r="CL249" s="73"/>
      <c r="CM249" s="73"/>
      <c r="CN249" s="73"/>
      <c r="CO249" s="73"/>
      <c r="CP249" s="73"/>
      <c r="CQ249" s="73"/>
      <c r="CR249" s="73"/>
      <c r="CS249" s="73"/>
      <c r="CT249" s="73"/>
      <c r="CU249" s="73"/>
      <c r="CV249" s="73"/>
      <c r="CW249" s="73"/>
      <c r="CX249" s="73"/>
      <c r="CY249" s="73"/>
      <c r="CZ249" s="73"/>
      <c r="DA249" s="73"/>
      <c r="DB249" s="73"/>
      <c r="DC249" s="73"/>
      <c r="DD249" s="73"/>
      <c r="DE249" s="73"/>
      <c r="DF249" s="73"/>
      <c r="DG249" s="73"/>
      <c r="DH249" s="73"/>
      <c r="DI249" s="73"/>
      <c r="DJ249" s="73"/>
      <c r="DK249" s="73"/>
      <c r="DL249" s="73"/>
      <c r="DM249" s="73"/>
      <c r="DN249" s="73"/>
      <c r="DO249" s="73"/>
      <c r="DP249" s="73"/>
      <c r="DQ249" s="73"/>
      <c r="DR249" s="73"/>
      <c r="DS249" s="73"/>
      <c r="DT249" s="73"/>
      <c r="DU249" s="74"/>
      <c r="DV249" s="74"/>
      <c r="DW249" s="72"/>
      <c r="DX249" s="72"/>
      <c r="DY249" s="72"/>
      <c r="DZ249" s="72"/>
      <c r="EA249" s="82" t="s">
        <v>203</v>
      </c>
    </row>
    <row r="250" ht="24.75" customHeight="1">
      <c r="A250" s="64"/>
      <c r="B250" s="70"/>
      <c r="C250" s="71"/>
      <c r="D250" s="71"/>
      <c r="E250" s="71"/>
      <c r="F250" s="81" t="s">
        <v>55</v>
      </c>
      <c r="G250" s="73"/>
      <c r="H250" s="73"/>
      <c r="I250" s="73"/>
      <c r="J250" s="73"/>
      <c r="K250" s="73"/>
      <c r="L250" s="73"/>
      <c r="M250" s="73"/>
      <c r="N250" s="73"/>
      <c r="O250" s="73"/>
      <c r="P250" s="73"/>
      <c r="Q250" s="73"/>
      <c r="R250" s="73"/>
      <c r="S250" s="73"/>
      <c r="T250" s="73"/>
      <c r="U250" s="73"/>
      <c r="V250" s="73"/>
      <c r="W250" s="73"/>
      <c r="X250" s="73"/>
      <c r="Y250" s="73"/>
      <c r="Z250" s="73"/>
      <c r="AA250" s="73"/>
      <c r="AB250" s="73"/>
      <c r="AC250" s="73"/>
      <c r="AD250" s="73"/>
      <c r="AE250" s="73">
        <f t="shared" ref="AE250:AG250" si="1256">M250+S250+Y250</f>
        <v>0</v>
      </c>
      <c r="AF250" s="73">
        <f t="shared" si="1256"/>
        <v>0</v>
      </c>
      <c r="AG250" s="73">
        <f t="shared" si="1256"/>
        <v>0</v>
      </c>
      <c r="AH250" s="73"/>
      <c r="AI250" s="73"/>
      <c r="AJ250" s="73"/>
      <c r="AK250" s="73"/>
      <c r="AL250" s="73"/>
      <c r="AM250" s="73"/>
      <c r="AN250" s="73"/>
      <c r="AO250" s="73"/>
      <c r="AP250" s="73"/>
      <c r="AQ250" s="73"/>
      <c r="AR250" s="73"/>
      <c r="AS250" s="73"/>
      <c r="AT250" s="73"/>
      <c r="AU250" s="73"/>
      <c r="AV250" s="73"/>
      <c r="AW250" s="73">
        <v>0.0</v>
      </c>
      <c r="AX250" s="73">
        <v>0.0</v>
      </c>
      <c r="AY250" s="73">
        <v>0.0</v>
      </c>
      <c r="AZ250" s="73"/>
      <c r="BA250" s="73"/>
      <c r="BB250" s="73"/>
      <c r="BC250" s="73">
        <f t="shared" ref="BC250:BE250" si="1257">AQ250+AW250</f>
        <v>0</v>
      </c>
      <c r="BD250" s="73">
        <f t="shared" si="1257"/>
        <v>0</v>
      </c>
      <c r="BE250" s="73">
        <f t="shared" si="1257"/>
        <v>0</v>
      </c>
      <c r="BF250" s="73"/>
      <c r="BG250" s="73"/>
      <c r="BH250" s="73"/>
      <c r="BI250" s="73"/>
      <c r="BJ250" s="73"/>
      <c r="BK250" s="73"/>
      <c r="BL250" s="73"/>
      <c r="BM250" s="73"/>
      <c r="BN250" s="73"/>
      <c r="BO250" s="73"/>
      <c r="BP250" s="73"/>
      <c r="BQ250" s="73"/>
      <c r="BR250" s="73"/>
      <c r="BS250" s="73"/>
      <c r="BT250" s="73"/>
      <c r="BU250" s="73"/>
      <c r="BV250" s="73"/>
      <c r="BW250" s="73"/>
      <c r="BX250" s="73"/>
      <c r="BY250" s="73"/>
      <c r="BZ250" s="73"/>
      <c r="CA250" s="73"/>
      <c r="CB250" s="73"/>
      <c r="CC250" s="73"/>
      <c r="CD250" s="73"/>
      <c r="CE250" s="73"/>
      <c r="CF250" s="73"/>
      <c r="CG250" s="73"/>
      <c r="CH250" s="73"/>
      <c r="CI250" s="73"/>
      <c r="CJ250" s="73"/>
      <c r="CK250" s="73"/>
      <c r="CL250" s="73"/>
      <c r="CM250" s="73"/>
      <c r="CN250" s="73"/>
      <c r="CO250" s="73"/>
      <c r="CP250" s="73"/>
      <c r="CQ250" s="73"/>
      <c r="CR250" s="73"/>
      <c r="CS250" s="73"/>
      <c r="CT250" s="73"/>
      <c r="CU250" s="73"/>
      <c r="CV250" s="73"/>
      <c r="CW250" s="73"/>
      <c r="CX250" s="73"/>
      <c r="CY250" s="73"/>
      <c r="CZ250" s="73"/>
      <c r="DA250" s="73"/>
      <c r="DB250" s="73"/>
      <c r="DC250" s="73"/>
      <c r="DD250" s="73"/>
      <c r="DE250" s="73"/>
      <c r="DF250" s="73"/>
      <c r="DG250" s="73"/>
      <c r="DH250" s="73"/>
      <c r="DI250" s="73"/>
      <c r="DJ250" s="73"/>
      <c r="DK250" s="73"/>
      <c r="DL250" s="73"/>
      <c r="DM250" s="73"/>
      <c r="DN250" s="73"/>
      <c r="DO250" s="73"/>
      <c r="DP250" s="73"/>
      <c r="DQ250" s="73"/>
      <c r="DR250" s="73"/>
      <c r="DS250" s="73"/>
      <c r="DT250" s="73"/>
      <c r="DU250" s="74"/>
      <c r="DV250" s="74"/>
      <c r="DW250" s="72"/>
      <c r="DX250" s="72"/>
      <c r="DY250" s="72"/>
      <c r="DZ250" s="72"/>
      <c r="EA250" s="82"/>
    </row>
    <row r="251" ht="24.75" customHeight="1">
      <c r="A251" s="64"/>
      <c r="B251" s="70" t="s">
        <v>40</v>
      </c>
      <c r="C251" s="71" t="s">
        <v>204</v>
      </c>
      <c r="D251" s="71" t="s">
        <v>41</v>
      </c>
      <c r="E251" s="71" t="s">
        <v>205</v>
      </c>
      <c r="F251" s="106" t="s">
        <v>206</v>
      </c>
      <c r="G251" s="73">
        <v>7.1278976E7</v>
      </c>
      <c r="H251" s="73">
        <v>1.1516055E7</v>
      </c>
      <c r="I251" s="73">
        <v>5.9762921E7</v>
      </c>
      <c r="J251" s="73">
        <f>K251+L251</f>
        <v>0</v>
      </c>
      <c r="K251" s="73">
        <v>0.0</v>
      </c>
      <c r="L251" s="73">
        <v>0.0</v>
      </c>
      <c r="M251" s="73">
        <f>N251+O251</f>
        <v>303.835</v>
      </c>
      <c r="N251" s="73">
        <v>0.0</v>
      </c>
      <c r="O251" s="73">
        <f>303.835</f>
        <v>303.835</v>
      </c>
      <c r="P251" s="73">
        <f>Q251+R251</f>
        <v>0</v>
      </c>
      <c r="Q251" s="73">
        <v>0.0</v>
      </c>
      <c r="R251" s="73">
        <v>0.0</v>
      </c>
      <c r="S251" s="73">
        <f>T251+U251</f>
        <v>2192</v>
      </c>
      <c r="T251" s="73">
        <v>0.0</v>
      </c>
      <c r="U251" s="73">
        <v>2192.0</v>
      </c>
      <c r="V251" s="73">
        <v>136406.0</v>
      </c>
      <c r="W251" s="73">
        <v>0.0</v>
      </c>
      <c r="X251" s="73">
        <v>136406.0</v>
      </c>
      <c r="Y251" s="73">
        <f>Z251+AA251</f>
        <v>48016.578</v>
      </c>
      <c r="Z251" s="73">
        <v>11700.0</v>
      </c>
      <c r="AA251" s="73">
        <v>36316.578</v>
      </c>
      <c r="AB251" s="73">
        <f t="shared" ref="AB251:AG251" si="1258">J251+P251+V251</f>
        <v>136406</v>
      </c>
      <c r="AC251" s="73">
        <f t="shared" si="1258"/>
        <v>0</v>
      </c>
      <c r="AD251" s="73">
        <f t="shared" si="1258"/>
        <v>136406</v>
      </c>
      <c r="AE251" s="73">
        <f t="shared" si="1258"/>
        <v>50512.413</v>
      </c>
      <c r="AF251" s="73">
        <f t="shared" si="1258"/>
        <v>11700</v>
      </c>
      <c r="AG251" s="73">
        <f t="shared" si="1258"/>
        <v>38812.413</v>
      </c>
      <c r="AH251" s="73">
        <v>37240.0</v>
      </c>
      <c r="AI251" s="73">
        <v>0.0</v>
      </c>
      <c r="AJ251" s="73">
        <v>37240.0</v>
      </c>
      <c r="AK251" s="73">
        <v>179473.71491</v>
      </c>
      <c r="AL251" s="73">
        <v>161475.0</v>
      </c>
      <c r="AM251" s="73">
        <v>17998.71491</v>
      </c>
      <c r="AN251" s="73">
        <f t="shared" ref="AN251:AS251" si="1259">AB251+AH251</f>
        <v>173646</v>
      </c>
      <c r="AO251" s="73">
        <f t="shared" si="1259"/>
        <v>0</v>
      </c>
      <c r="AP251" s="73">
        <f t="shared" si="1259"/>
        <v>173646</v>
      </c>
      <c r="AQ251" s="73">
        <f t="shared" si="1259"/>
        <v>229986.1279</v>
      </c>
      <c r="AR251" s="73">
        <f t="shared" si="1259"/>
        <v>173175</v>
      </c>
      <c r="AS251" s="73">
        <f t="shared" si="1259"/>
        <v>56811.12791</v>
      </c>
      <c r="AT251" s="73">
        <v>55861.0</v>
      </c>
      <c r="AU251" s="73">
        <f>W251+AC251+AI251</f>
        <v>0</v>
      </c>
      <c r="AV251" s="73">
        <v>55861.0</v>
      </c>
      <c r="AW251" s="73">
        <v>16448.64315</v>
      </c>
      <c r="AX251" s="73">
        <v>0.0</v>
      </c>
      <c r="AY251" s="73">
        <v>16448.64315</v>
      </c>
      <c r="AZ251" s="73">
        <f t="shared" ref="AZ251:BE251" si="1260">AN251+AT251</f>
        <v>229507</v>
      </c>
      <c r="BA251" s="73">
        <f t="shared" si="1260"/>
        <v>0</v>
      </c>
      <c r="BB251" s="73">
        <f t="shared" si="1260"/>
        <v>229507</v>
      </c>
      <c r="BC251" s="73">
        <f t="shared" si="1260"/>
        <v>246434.7711</v>
      </c>
      <c r="BD251" s="73">
        <f t="shared" si="1260"/>
        <v>173175</v>
      </c>
      <c r="BE251" s="73">
        <f t="shared" si="1260"/>
        <v>73259.77106</v>
      </c>
      <c r="BF251" s="73">
        <f t="shared" ref="BF251:BK251" si="1261">AB251+AH251+AT251</f>
        <v>229507</v>
      </c>
      <c r="BG251" s="73">
        <f t="shared" si="1261"/>
        <v>0</v>
      </c>
      <c r="BH251" s="73">
        <f t="shared" si="1261"/>
        <v>229507</v>
      </c>
      <c r="BI251" s="73">
        <f t="shared" si="1261"/>
        <v>246434.7711</v>
      </c>
      <c r="BJ251" s="73">
        <f t="shared" si="1261"/>
        <v>173175</v>
      </c>
      <c r="BK251" s="73">
        <f t="shared" si="1261"/>
        <v>73259.77106</v>
      </c>
      <c r="BL251" s="73">
        <f t="shared" ref="BL251:BQ251" si="1262">AH251+AT251+BF251</f>
        <v>322608</v>
      </c>
      <c r="BM251" s="73">
        <f t="shared" si="1262"/>
        <v>0</v>
      </c>
      <c r="BN251" s="73">
        <f t="shared" si="1262"/>
        <v>322608</v>
      </c>
      <c r="BO251" s="73">
        <f t="shared" si="1262"/>
        <v>442357.1291</v>
      </c>
      <c r="BP251" s="73">
        <f t="shared" si="1262"/>
        <v>334650</v>
      </c>
      <c r="BQ251" s="73">
        <f t="shared" si="1262"/>
        <v>107707.1291</v>
      </c>
      <c r="BR251" s="73">
        <f t="shared" ref="BR251:BW251" si="1263">AT251+BF251+BL251</f>
        <v>607976</v>
      </c>
      <c r="BS251" s="73">
        <f t="shared" si="1263"/>
        <v>0</v>
      </c>
      <c r="BT251" s="73">
        <f t="shared" si="1263"/>
        <v>607976</v>
      </c>
      <c r="BU251" s="73">
        <f t="shared" si="1263"/>
        <v>705240.5433</v>
      </c>
      <c r="BV251" s="73">
        <f t="shared" si="1263"/>
        <v>507825</v>
      </c>
      <c r="BW251" s="73">
        <f t="shared" si="1263"/>
        <v>197415.5433</v>
      </c>
      <c r="BX251" s="73">
        <f t="shared" ref="BX251:DY251" si="1264">BF251+BL251+BR251</f>
        <v>1160091</v>
      </c>
      <c r="BY251" s="73">
        <f t="shared" si="1264"/>
        <v>0</v>
      </c>
      <c r="BZ251" s="73">
        <f t="shared" si="1264"/>
        <v>1160091</v>
      </c>
      <c r="CA251" s="73">
        <f t="shared" si="1264"/>
        <v>1394032.444</v>
      </c>
      <c r="CB251" s="73">
        <f t="shared" si="1264"/>
        <v>1015650</v>
      </c>
      <c r="CC251" s="73">
        <f t="shared" si="1264"/>
        <v>378382.4435</v>
      </c>
      <c r="CD251" s="73">
        <f t="shared" si="1264"/>
        <v>2090675</v>
      </c>
      <c r="CE251" s="73">
        <f t="shared" si="1264"/>
        <v>0</v>
      </c>
      <c r="CF251" s="73">
        <f t="shared" si="1264"/>
        <v>2090675</v>
      </c>
      <c r="CG251" s="73">
        <f t="shared" si="1264"/>
        <v>2541630.116</v>
      </c>
      <c r="CH251" s="73">
        <f t="shared" si="1264"/>
        <v>1858125</v>
      </c>
      <c r="CI251" s="73">
        <f t="shared" si="1264"/>
        <v>683505.116</v>
      </c>
      <c r="CJ251" s="73">
        <f t="shared" si="1264"/>
        <v>3858742</v>
      </c>
      <c r="CK251" s="73">
        <f t="shared" si="1264"/>
        <v>0</v>
      </c>
      <c r="CL251" s="73">
        <f t="shared" si="1264"/>
        <v>3858742</v>
      </c>
      <c r="CM251" s="73">
        <f t="shared" si="1264"/>
        <v>4640903.103</v>
      </c>
      <c r="CN251" s="73">
        <f t="shared" si="1264"/>
        <v>3381600</v>
      </c>
      <c r="CO251" s="73">
        <f t="shared" si="1264"/>
        <v>1259303.103</v>
      </c>
      <c r="CP251" s="73">
        <f t="shared" si="1264"/>
        <v>7109508</v>
      </c>
      <c r="CQ251" s="73">
        <f t="shared" si="1264"/>
        <v>0</v>
      </c>
      <c r="CR251" s="73">
        <f t="shared" si="1264"/>
        <v>7109508</v>
      </c>
      <c r="CS251" s="73">
        <f t="shared" si="1264"/>
        <v>8576565.662</v>
      </c>
      <c r="CT251" s="73">
        <f t="shared" si="1264"/>
        <v>6255375</v>
      </c>
      <c r="CU251" s="73">
        <f t="shared" si="1264"/>
        <v>2321190.662</v>
      </c>
      <c r="CV251" s="73">
        <f t="shared" si="1264"/>
        <v>13058925</v>
      </c>
      <c r="CW251" s="73">
        <f t="shared" si="1264"/>
        <v>0</v>
      </c>
      <c r="CX251" s="73">
        <f t="shared" si="1264"/>
        <v>13058925</v>
      </c>
      <c r="CY251" s="73">
        <f t="shared" si="1264"/>
        <v>15759098.88</v>
      </c>
      <c r="CZ251" s="73">
        <f t="shared" si="1264"/>
        <v>11495100</v>
      </c>
      <c r="DA251" s="73">
        <f t="shared" si="1264"/>
        <v>4263998.881</v>
      </c>
      <c r="DB251" s="73">
        <f t="shared" si="1264"/>
        <v>24027175</v>
      </c>
      <c r="DC251" s="73">
        <f t="shared" si="1264"/>
        <v>0</v>
      </c>
      <c r="DD251" s="73">
        <f t="shared" si="1264"/>
        <v>24027175</v>
      </c>
      <c r="DE251" s="73">
        <f t="shared" si="1264"/>
        <v>28976567.65</v>
      </c>
      <c r="DF251" s="73">
        <f t="shared" si="1264"/>
        <v>21132075</v>
      </c>
      <c r="DG251" s="73">
        <f t="shared" si="1264"/>
        <v>7844492.646</v>
      </c>
      <c r="DH251" s="73">
        <f t="shared" si="1264"/>
        <v>44195608</v>
      </c>
      <c r="DI251" s="73">
        <f t="shared" si="1264"/>
        <v>0</v>
      </c>
      <c r="DJ251" s="73">
        <f t="shared" si="1264"/>
        <v>44195608</v>
      </c>
      <c r="DK251" s="73">
        <f t="shared" si="1264"/>
        <v>53312232.19</v>
      </c>
      <c r="DL251" s="73">
        <f t="shared" si="1264"/>
        <v>38882550</v>
      </c>
      <c r="DM251" s="73">
        <f t="shared" si="1264"/>
        <v>14429682.19</v>
      </c>
      <c r="DN251" s="73">
        <f t="shared" si="1264"/>
        <v>81281708</v>
      </c>
      <c r="DO251" s="73">
        <f t="shared" si="1264"/>
        <v>0</v>
      </c>
      <c r="DP251" s="73">
        <f t="shared" si="1264"/>
        <v>81281708</v>
      </c>
      <c r="DQ251" s="73">
        <f t="shared" si="1264"/>
        <v>98047898.72</v>
      </c>
      <c r="DR251" s="73">
        <f t="shared" si="1264"/>
        <v>71509725</v>
      </c>
      <c r="DS251" s="73">
        <f t="shared" si="1264"/>
        <v>26538173.72</v>
      </c>
      <c r="DT251" s="73">
        <f t="shared" si="1264"/>
        <v>149504491</v>
      </c>
      <c r="DU251" s="73">
        <f t="shared" si="1264"/>
        <v>0</v>
      </c>
      <c r="DV251" s="73">
        <f t="shared" si="1264"/>
        <v>149504491</v>
      </c>
      <c r="DW251" s="73">
        <f t="shared" si="1264"/>
        <v>180336698.6</v>
      </c>
      <c r="DX251" s="73">
        <f t="shared" si="1264"/>
        <v>131524350</v>
      </c>
      <c r="DY251" s="73">
        <f t="shared" si="1264"/>
        <v>48812348.55</v>
      </c>
      <c r="DZ251" s="106"/>
      <c r="EA251" s="102" t="s">
        <v>207</v>
      </c>
    </row>
    <row r="252" ht="21.75" customHeight="1">
      <c r="A252" s="64"/>
      <c r="B252" s="70"/>
      <c r="C252" s="71"/>
      <c r="D252" s="71"/>
      <c r="E252" s="71"/>
      <c r="F252" s="81" t="s">
        <v>55</v>
      </c>
      <c r="G252" s="73"/>
      <c r="H252" s="73"/>
      <c r="I252" s="73"/>
      <c r="J252" s="73"/>
      <c r="K252" s="73"/>
      <c r="L252" s="73"/>
      <c r="M252" s="73"/>
      <c r="N252" s="73"/>
      <c r="O252" s="73"/>
      <c r="P252" s="73"/>
      <c r="Q252" s="73"/>
      <c r="R252" s="73"/>
      <c r="S252" s="73"/>
      <c r="T252" s="73"/>
      <c r="U252" s="73"/>
      <c r="V252" s="73"/>
      <c r="W252" s="73"/>
      <c r="X252" s="73"/>
      <c r="Y252" s="73"/>
      <c r="Z252" s="73"/>
      <c r="AA252" s="73"/>
      <c r="AB252" s="73"/>
      <c r="AC252" s="73"/>
      <c r="AD252" s="73"/>
      <c r="AE252" s="73">
        <f t="shared" ref="AE252:AG252" si="1265">M252+S252+Y252</f>
        <v>0</v>
      </c>
      <c r="AF252" s="73">
        <f t="shared" si="1265"/>
        <v>0</v>
      </c>
      <c r="AG252" s="73">
        <f t="shared" si="1265"/>
        <v>0</v>
      </c>
      <c r="AH252" s="73"/>
      <c r="AI252" s="73"/>
      <c r="AJ252" s="73"/>
      <c r="AK252" s="73"/>
      <c r="AL252" s="73"/>
      <c r="AM252" s="73"/>
      <c r="AN252" s="73"/>
      <c r="AO252" s="73"/>
      <c r="AP252" s="73"/>
      <c r="AQ252" s="73"/>
      <c r="AR252" s="73"/>
      <c r="AS252" s="73"/>
      <c r="AT252" s="73"/>
      <c r="AU252" s="73"/>
      <c r="AV252" s="73"/>
      <c r="AW252" s="73">
        <v>0.0</v>
      </c>
      <c r="AX252" s="73">
        <v>0.0</v>
      </c>
      <c r="AY252" s="73">
        <v>0.0</v>
      </c>
      <c r="AZ252" s="73"/>
      <c r="BA252" s="73"/>
      <c r="BB252" s="73"/>
      <c r="BC252" s="73">
        <f t="shared" ref="BC252:BE252" si="1266">AQ252+AW252</f>
        <v>0</v>
      </c>
      <c r="BD252" s="73">
        <f t="shared" si="1266"/>
        <v>0</v>
      </c>
      <c r="BE252" s="73">
        <f t="shared" si="1266"/>
        <v>0</v>
      </c>
      <c r="BF252" s="73"/>
      <c r="BG252" s="73"/>
      <c r="BH252" s="73"/>
      <c r="BI252" s="73"/>
      <c r="BJ252" s="73"/>
      <c r="BK252" s="73"/>
      <c r="BL252" s="73"/>
      <c r="BM252" s="73"/>
      <c r="BN252" s="73"/>
      <c r="BO252" s="73"/>
      <c r="BP252" s="73"/>
      <c r="BQ252" s="73"/>
      <c r="BR252" s="73"/>
      <c r="BS252" s="73"/>
      <c r="BT252" s="73"/>
      <c r="BU252" s="73"/>
      <c r="BV252" s="73"/>
      <c r="BW252" s="73"/>
      <c r="BX252" s="73"/>
      <c r="BY252" s="73"/>
      <c r="BZ252" s="73"/>
      <c r="CA252" s="73"/>
      <c r="CB252" s="73"/>
      <c r="CC252" s="73"/>
      <c r="CD252" s="73"/>
      <c r="CE252" s="73"/>
      <c r="CF252" s="73"/>
      <c r="CG252" s="73"/>
      <c r="CH252" s="73"/>
      <c r="CI252" s="73"/>
      <c r="CJ252" s="73"/>
      <c r="CK252" s="73"/>
      <c r="CL252" s="73"/>
      <c r="CM252" s="73"/>
      <c r="CN252" s="73"/>
      <c r="CO252" s="73"/>
      <c r="CP252" s="73"/>
      <c r="CQ252" s="73"/>
      <c r="CR252" s="73"/>
      <c r="CS252" s="73"/>
      <c r="CT252" s="73"/>
      <c r="CU252" s="73"/>
      <c r="CV252" s="73"/>
      <c r="CW252" s="73"/>
      <c r="CX252" s="73"/>
      <c r="CY252" s="73"/>
      <c r="CZ252" s="73"/>
      <c r="DA252" s="73"/>
      <c r="DB252" s="73"/>
      <c r="DC252" s="73"/>
      <c r="DD252" s="73"/>
      <c r="DE252" s="73"/>
      <c r="DF252" s="73"/>
      <c r="DG252" s="73"/>
      <c r="DH252" s="73"/>
      <c r="DI252" s="73"/>
      <c r="DJ252" s="73"/>
      <c r="DK252" s="73"/>
      <c r="DL252" s="73"/>
      <c r="DM252" s="73"/>
      <c r="DN252" s="73"/>
      <c r="DO252" s="73"/>
      <c r="DP252" s="73"/>
      <c r="DQ252" s="73"/>
      <c r="DR252" s="73"/>
      <c r="DS252" s="73"/>
      <c r="DT252" s="73"/>
      <c r="DU252" s="73"/>
      <c r="DV252" s="73"/>
      <c r="DW252" s="73"/>
      <c r="DX252" s="73"/>
      <c r="DY252" s="73"/>
      <c r="DZ252" s="106"/>
      <c r="EA252" s="102"/>
    </row>
    <row r="253" ht="21.75" customHeight="1">
      <c r="A253" s="64"/>
      <c r="B253" s="70" t="s">
        <v>40</v>
      </c>
      <c r="C253" s="71" t="s">
        <v>208</v>
      </c>
      <c r="D253" s="71" t="s">
        <v>209</v>
      </c>
      <c r="E253" s="71" t="s">
        <v>210</v>
      </c>
      <c r="F253" s="72" t="s">
        <v>211</v>
      </c>
      <c r="G253" s="73">
        <v>4.3896239E7</v>
      </c>
      <c r="H253" s="73">
        <v>4.3896239E7</v>
      </c>
      <c r="I253" s="73">
        <v>0.0</v>
      </c>
      <c r="J253" s="73">
        <f>K253+L253</f>
        <v>0</v>
      </c>
      <c r="K253" s="73">
        <v>0.0</v>
      </c>
      <c r="L253" s="73">
        <v>0.0</v>
      </c>
      <c r="M253" s="73">
        <f>N253+O253</f>
        <v>0</v>
      </c>
      <c r="N253" s="73">
        <v>0.0</v>
      </c>
      <c r="O253" s="73">
        <v>0.0</v>
      </c>
      <c r="P253" s="73">
        <f>Q253+R253</f>
        <v>0</v>
      </c>
      <c r="Q253" s="73">
        <v>0.0</v>
      </c>
      <c r="R253" s="73">
        <v>0.0</v>
      </c>
      <c r="S253" s="73">
        <f>T253+U253</f>
        <v>0</v>
      </c>
      <c r="T253" s="73">
        <v>0.0</v>
      </c>
      <c r="U253" s="73">
        <v>0.0</v>
      </c>
      <c r="V253" s="73">
        <v>0.0</v>
      </c>
      <c r="W253" s="73">
        <v>0.0</v>
      </c>
      <c r="X253" s="73">
        <v>0.0</v>
      </c>
      <c r="Y253" s="73">
        <f>Z253+AA253</f>
        <v>0</v>
      </c>
      <c r="Z253" s="73">
        <v>0.0</v>
      </c>
      <c r="AA253" s="73">
        <v>0.0</v>
      </c>
      <c r="AB253" s="73">
        <f t="shared" ref="AB253:AG253" si="1267">J253+P253+V253</f>
        <v>0</v>
      </c>
      <c r="AC253" s="73">
        <f t="shared" si="1267"/>
        <v>0</v>
      </c>
      <c r="AD253" s="73">
        <f t="shared" si="1267"/>
        <v>0</v>
      </c>
      <c r="AE253" s="73">
        <f t="shared" si="1267"/>
        <v>0</v>
      </c>
      <c r="AF253" s="73">
        <f t="shared" si="1267"/>
        <v>0</v>
      </c>
      <c r="AG253" s="73">
        <f t="shared" si="1267"/>
        <v>0</v>
      </c>
      <c r="AH253" s="73">
        <v>0.0</v>
      </c>
      <c r="AI253" s="73">
        <v>0.0</v>
      </c>
      <c r="AJ253" s="73">
        <v>0.0</v>
      </c>
      <c r="AK253" s="73">
        <v>0.0</v>
      </c>
      <c r="AL253" s="73">
        <v>0.0</v>
      </c>
      <c r="AM253" s="73">
        <v>0.0</v>
      </c>
      <c r="AN253" s="73">
        <f t="shared" ref="AN253:AS253" si="1268">AB253+AH253</f>
        <v>0</v>
      </c>
      <c r="AO253" s="73">
        <f t="shared" si="1268"/>
        <v>0</v>
      </c>
      <c r="AP253" s="73">
        <f t="shared" si="1268"/>
        <v>0</v>
      </c>
      <c r="AQ253" s="73">
        <f t="shared" si="1268"/>
        <v>0</v>
      </c>
      <c r="AR253" s="73">
        <f t="shared" si="1268"/>
        <v>0</v>
      </c>
      <c r="AS253" s="73">
        <f t="shared" si="1268"/>
        <v>0</v>
      </c>
      <c r="AT253" s="73">
        <v>0.0</v>
      </c>
      <c r="AU253" s="73">
        <v>0.0</v>
      </c>
      <c r="AV253" s="73">
        <v>0.0</v>
      </c>
      <c r="AW253" s="73">
        <v>0.0</v>
      </c>
      <c r="AX253" s="73">
        <v>0.0</v>
      </c>
      <c r="AY253" s="73">
        <v>0.0</v>
      </c>
      <c r="AZ253" s="73">
        <f t="shared" ref="AZ253:BE253" si="1269">AN253+AT253</f>
        <v>0</v>
      </c>
      <c r="BA253" s="73">
        <f t="shared" si="1269"/>
        <v>0</v>
      </c>
      <c r="BB253" s="73">
        <f t="shared" si="1269"/>
        <v>0</v>
      </c>
      <c r="BC253" s="73">
        <f t="shared" si="1269"/>
        <v>0</v>
      </c>
      <c r="BD253" s="73">
        <f t="shared" si="1269"/>
        <v>0</v>
      </c>
      <c r="BE253" s="73">
        <f t="shared" si="1269"/>
        <v>0</v>
      </c>
      <c r="BF253" s="73"/>
      <c r="BG253" s="73"/>
      <c r="BH253" s="73"/>
      <c r="BI253" s="73"/>
      <c r="BJ253" s="73"/>
      <c r="BK253" s="73"/>
      <c r="BL253" s="73"/>
      <c r="BM253" s="73"/>
      <c r="BN253" s="73"/>
      <c r="BO253" s="73"/>
      <c r="BP253" s="73"/>
      <c r="BQ253" s="73"/>
      <c r="BR253" s="73"/>
      <c r="BS253" s="73"/>
      <c r="BT253" s="73"/>
      <c r="BU253" s="73"/>
      <c r="BV253" s="73"/>
      <c r="BW253" s="73"/>
      <c r="BX253" s="73"/>
      <c r="BY253" s="73"/>
      <c r="BZ253" s="73"/>
      <c r="CA253" s="73"/>
      <c r="CB253" s="73"/>
      <c r="CC253" s="73"/>
      <c r="CD253" s="73"/>
      <c r="CE253" s="73"/>
      <c r="CF253" s="73"/>
      <c r="CG253" s="73"/>
      <c r="CH253" s="73"/>
      <c r="CI253" s="73"/>
      <c r="CJ253" s="73"/>
      <c r="CK253" s="73"/>
      <c r="CL253" s="73"/>
      <c r="CM253" s="73"/>
      <c r="CN253" s="73"/>
      <c r="CO253" s="73"/>
      <c r="CP253" s="73"/>
      <c r="CQ253" s="73"/>
      <c r="CR253" s="73"/>
      <c r="CS253" s="73"/>
      <c r="CT253" s="73"/>
      <c r="CU253" s="73"/>
      <c r="CV253" s="73"/>
      <c r="CW253" s="73"/>
      <c r="CX253" s="73"/>
      <c r="CY253" s="73"/>
      <c r="CZ253" s="73"/>
      <c r="DA253" s="73"/>
      <c r="DB253" s="73"/>
      <c r="DC253" s="73"/>
      <c r="DD253" s="73"/>
      <c r="DE253" s="73"/>
      <c r="DF253" s="73"/>
      <c r="DG253" s="73"/>
      <c r="DH253" s="73"/>
      <c r="DI253" s="73"/>
      <c r="DJ253" s="73"/>
      <c r="DK253" s="73"/>
      <c r="DL253" s="73"/>
      <c r="DM253" s="73"/>
      <c r="DN253" s="73"/>
      <c r="DO253" s="73"/>
      <c r="DP253" s="73"/>
      <c r="DQ253" s="73"/>
      <c r="DR253" s="73"/>
      <c r="DS253" s="73"/>
      <c r="DT253" s="73"/>
      <c r="DU253" s="74"/>
      <c r="DV253" s="74"/>
      <c r="DW253" s="72"/>
      <c r="DX253" s="72"/>
      <c r="DY253" s="72"/>
      <c r="DZ253" s="106" t="s">
        <v>212</v>
      </c>
      <c r="EA253" s="102"/>
    </row>
    <row r="254" ht="21.75" customHeight="1">
      <c r="A254" s="64"/>
      <c r="B254" s="70"/>
      <c r="C254" s="71"/>
      <c r="D254" s="71"/>
      <c r="E254" s="71"/>
      <c r="F254" s="81" t="s">
        <v>55</v>
      </c>
      <c r="G254" s="73"/>
      <c r="H254" s="73"/>
      <c r="I254" s="73"/>
      <c r="J254" s="73"/>
      <c r="K254" s="73"/>
      <c r="L254" s="73"/>
      <c r="M254" s="73"/>
      <c r="N254" s="73"/>
      <c r="O254" s="73"/>
      <c r="P254" s="73"/>
      <c r="Q254" s="73"/>
      <c r="R254" s="73"/>
      <c r="S254" s="73"/>
      <c r="T254" s="73"/>
      <c r="U254" s="73"/>
      <c r="V254" s="73"/>
      <c r="W254" s="73"/>
      <c r="X254" s="73"/>
      <c r="Y254" s="73"/>
      <c r="Z254" s="73"/>
      <c r="AA254" s="73"/>
      <c r="AB254" s="73"/>
      <c r="AC254" s="73"/>
      <c r="AD254" s="73"/>
      <c r="AE254" s="73">
        <f t="shared" ref="AE254:AG254" si="1270">M254+S254+Y254</f>
        <v>0</v>
      </c>
      <c r="AF254" s="73">
        <f t="shared" si="1270"/>
        <v>0</v>
      </c>
      <c r="AG254" s="73">
        <f t="shared" si="1270"/>
        <v>0</v>
      </c>
      <c r="AH254" s="73"/>
      <c r="AI254" s="73"/>
      <c r="AJ254" s="73"/>
      <c r="AK254" s="73"/>
      <c r="AL254" s="73"/>
      <c r="AM254" s="73"/>
      <c r="AN254" s="73"/>
      <c r="AO254" s="73"/>
      <c r="AP254" s="73"/>
      <c r="AQ254" s="73"/>
      <c r="AR254" s="73"/>
      <c r="AS254" s="73"/>
      <c r="AT254" s="73"/>
      <c r="AU254" s="73"/>
      <c r="AV254" s="73"/>
      <c r="AW254" s="73">
        <v>0.0</v>
      </c>
      <c r="AX254" s="73">
        <v>0.0</v>
      </c>
      <c r="AY254" s="73">
        <v>0.0</v>
      </c>
      <c r="AZ254" s="73"/>
      <c r="BA254" s="73"/>
      <c r="BB254" s="73"/>
      <c r="BC254" s="73">
        <f t="shared" ref="BC254:BE254" si="1271">AQ254+AW254</f>
        <v>0</v>
      </c>
      <c r="BD254" s="73">
        <f t="shared" si="1271"/>
        <v>0</v>
      </c>
      <c r="BE254" s="73">
        <f t="shared" si="1271"/>
        <v>0</v>
      </c>
      <c r="BF254" s="73"/>
      <c r="BG254" s="73"/>
      <c r="BH254" s="73"/>
      <c r="BI254" s="73"/>
      <c r="BJ254" s="73"/>
      <c r="BK254" s="73"/>
      <c r="BL254" s="73"/>
      <c r="BM254" s="73"/>
      <c r="BN254" s="73"/>
      <c r="BO254" s="73"/>
      <c r="BP254" s="73"/>
      <c r="BQ254" s="73"/>
      <c r="BR254" s="73"/>
      <c r="BS254" s="73"/>
      <c r="BT254" s="73"/>
      <c r="BU254" s="73"/>
      <c r="BV254" s="73"/>
      <c r="BW254" s="73"/>
      <c r="BX254" s="73"/>
      <c r="BY254" s="73"/>
      <c r="BZ254" s="73"/>
      <c r="CA254" s="73"/>
      <c r="CB254" s="73"/>
      <c r="CC254" s="73"/>
      <c r="CD254" s="73"/>
      <c r="CE254" s="73"/>
      <c r="CF254" s="73"/>
      <c r="CG254" s="73"/>
      <c r="CH254" s="73"/>
      <c r="CI254" s="73"/>
      <c r="CJ254" s="73"/>
      <c r="CK254" s="73"/>
      <c r="CL254" s="73"/>
      <c r="CM254" s="73"/>
      <c r="CN254" s="73"/>
      <c r="CO254" s="73"/>
      <c r="CP254" s="73"/>
      <c r="CQ254" s="73"/>
      <c r="CR254" s="73"/>
      <c r="CS254" s="73"/>
      <c r="CT254" s="73"/>
      <c r="CU254" s="73"/>
      <c r="CV254" s="73"/>
      <c r="CW254" s="73"/>
      <c r="CX254" s="73"/>
      <c r="CY254" s="73"/>
      <c r="CZ254" s="73"/>
      <c r="DA254" s="73"/>
      <c r="DB254" s="73"/>
      <c r="DC254" s="73"/>
      <c r="DD254" s="73"/>
      <c r="DE254" s="73"/>
      <c r="DF254" s="73"/>
      <c r="DG254" s="73"/>
      <c r="DH254" s="73"/>
      <c r="DI254" s="73"/>
      <c r="DJ254" s="73"/>
      <c r="DK254" s="73"/>
      <c r="DL254" s="73"/>
      <c r="DM254" s="73"/>
      <c r="DN254" s="73"/>
      <c r="DO254" s="73"/>
      <c r="DP254" s="73"/>
      <c r="DQ254" s="73"/>
      <c r="DR254" s="73"/>
      <c r="DS254" s="73"/>
      <c r="DT254" s="73"/>
      <c r="DU254" s="74"/>
      <c r="DV254" s="74"/>
      <c r="DW254" s="72"/>
      <c r="DX254" s="72"/>
      <c r="DY254" s="72"/>
      <c r="DZ254" s="106"/>
      <c r="EA254" s="102"/>
    </row>
    <row r="255" ht="21.75" customHeight="1">
      <c r="A255" s="64"/>
      <c r="B255" s="70" t="s">
        <v>40</v>
      </c>
      <c r="C255" s="71" t="s">
        <v>213</v>
      </c>
      <c r="D255" s="71" t="s">
        <v>209</v>
      </c>
      <c r="E255" s="71" t="s">
        <v>188</v>
      </c>
      <c r="F255" s="72" t="s">
        <v>214</v>
      </c>
      <c r="G255" s="73">
        <v>1.9406041E7</v>
      </c>
      <c r="H255" s="73">
        <v>1.0458186E7</v>
      </c>
      <c r="I255" s="73">
        <v>8947855.0</v>
      </c>
      <c r="J255" s="73">
        <f>K255+L255</f>
        <v>0</v>
      </c>
      <c r="K255" s="73">
        <v>0.0</v>
      </c>
      <c r="L255" s="73">
        <v>0.0</v>
      </c>
      <c r="M255" s="73">
        <f>N255+O255</f>
        <v>0</v>
      </c>
      <c r="N255" s="73">
        <v>0.0</v>
      </c>
      <c r="O255" s="73">
        <v>0.0</v>
      </c>
      <c r="P255" s="73">
        <f>Q255+R255</f>
        <v>0</v>
      </c>
      <c r="Q255" s="73">
        <v>0.0</v>
      </c>
      <c r="R255" s="73">
        <v>0.0</v>
      </c>
      <c r="S255" s="73">
        <f>T255+U255</f>
        <v>0</v>
      </c>
      <c r="T255" s="73">
        <v>0.0</v>
      </c>
      <c r="U255" s="73">
        <v>0.0</v>
      </c>
      <c r="V255" s="73">
        <v>5197855.0</v>
      </c>
      <c r="W255" s="73">
        <v>0.0</v>
      </c>
      <c r="X255" s="73">
        <v>5197855.0</v>
      </c>
      <c r="Y255" s="73">
        <f>Z255+AA255</f>
        <v>0</v>
      </c>
      <c r="Z255" s="73">
        <v>0.0</v>
      </c>
      <c r="AA255" s="73">
        <v>0.0</v>
      </c>
      <c r="AB255" s="73">
        <f t="shared" ref="AB255:AG255" si="1272">J255+P255+V255</f>
        <v>5197855</v>
      </c>
      <c r="AC255" s="73">
        <f t="shared" si="1272"/>
        <v>0</v>
      </c>
      <c r="AD255" s="73">
        <f t="shared" si="1272"/>
        <v>5197855</v>
      </c>
      <c r="AE255" s="73">
        <f t="shared" si="1272"/>
        <v>0</v>
      </c>
      <c r="AF255" s="73">
        <f t="shared" si="1272"/>
        <v>0</v>
      </c>
      <c r="AG255" s="73">
        <f t="shared" si="1272"/>
        <v>0</v>
      </c>
      <c r="AH255" s="73">
        <v>0.0</v>
      </c>
      <c r="AI255" s="73">
        <v>0.0</v>
      </c>
      <c r="AJ255" s="73">
        <v>0.0</v>
      </c>
      <c r="AK255" s="73">
        <v>2571960.42175</v>
      </c>
      <c r="AL255" s="73">
        <v>0.0</v>
      </c>
      <c r="AM255" s="73">
        <v>2571960.42175</v>
      </c>
      <c r="AN255" s="73">
        <f t="shared" ref="AN255:AS255" si="1273">AB255+AH255</f>
        <v>5197855</v>
      </c>
      <c r="AO255" s="73">
        <f t="shared" si="1273"/>
        <v>0</v>
      </c>
      <c r="AP255" s="73">
        <f t="shared" si="1273"/>
        <v>5197855</v>
      </c>
      <c r="AQ255" s="73">
        <f t="shared" si="1273"/>
        <v>2571960.422</v>
      </c>
      <c r="AR255" s="73">
        <f t="shared" si="1273"/>
        <v>0</v>
      </c>
      <c r="AS255" s="73">
        <f t="shared" si="1273"/>
        <v>2571960.422</v>
      </c>
      <c r="AT255" s="73">
        <v>0.0</v>
      </c>
      <c r="AU255" s="73">
        <v>0.0</v>
      </c>
      <c r="AV255" s="73">
        <v>0.0</v>
      </c>
      <c r="AW255" s="73">
        <v>0.0</v>
      </c>
      <c r="AX255" s="73">
        <v>0.0</v>
      </c>
      <c r="AY255" s="73">
        <v>0.0</v>
      </c>
      <c r="AZ255" s="73">
        <f t="shared" ref="AZ255:BE255" si="1274">AN255+AT255</f>
        <v>5197855</v>
      </c>
      <c r="BA255" s="73">
        <f t="shared" si="1274"/>
        <v>0</v>
      </c>
      <c r="BB255" s="73">
        <f t="shared" si="1274"/>
        <v>5197855</v>
      </c>
      <c r="BC255" s="73">
        <f t="shared" si="1274"/>
        <v>2571960.422</v>
      </c>
      <c r="BD255" s="73">
        <f t="shared" si="1274"/>
        <v>0</v>
      </c>
      <c r="BE255" s="73">
        <f t="shared" si="1274"/>
        <v>2571960.422</v>
      </c>
      <c r="BF255" s="73"/>
      <c r="BG255" s="73"/>
      <c r="BH255" s="73"/>
      <c r="BI255" s="73"/>
      <c r="BJ255" s="73"/>
      <c r="BK255" s="73"/>
      <c r="BL255" s="73"/>
      <c r="BM255" s="73"/>
      <c r="BN255" s="73"/>
      <c r="BO255" s="73"/>
      <c r="BP255" s="73"/>
      <c r="BQ255" s="73"/>
      <c r="BR255" s="73"/>
      <c r="BS255" s="73"/>
      <c r="BT255" s="73"/>
      <c r="BU255" s="73"/>
      <c r="BV255" s="73"/>
      <c r="BW255" s="73"/>
      <c r="BX255" s="73"/>
      <c r="BY255" s="73"/>
      <c r="BZ255" s="73"/>
      <c r="CA255" s="73"/>
      <c r="CB255" s="73"/>
      <c r="CC255" s="73"/>
      <c r="CD255" s="73"/>
      <c r="CE255" s="73"/>
      <c r="CF255" s="73"/>
      <c r="CG255" s="73"/>
      <c r="CH255" s="73"/>
      <c r="CI255" s="73"/>
      <c r="CJ255" s="73"/>
      <c r="CK255" s="73"/>
      <c r="CL255" s="73"/>
      <c r="CM255" s="73"/>
      <c r="CN255" s="73"/>
      <c r="CO255" s="73"/>
      <c r="CP255" s="73"/>
      <c r="CQ255" s="73"/>
      <c r="CR255" s="73"/>
      <c r="CS255" s="73"/>
      <c r="CT255" s="73"/>
      <c r="CU255" s="73"/>
      <c r="CV255" s="73"/>
      <c r="CW255" s="73"/>
      <c r="CX255" s="73"/>
      <c r="CY255" s="73"/>
      <c r="CZ255" s="73"/>
      <c r="DA255" s="73"/>
      <c r="DB255" s="73"/>
      <c r="DC255" s="73"/>
      <c r="DD255" s="73"/>
      <c r="DE255" s="73"/>
      <c r="DF255" s="73"/>
      <c r="DG255" s="73"/>
      <c r="DH255" s="73"/>
      <c r="DI255" s="73"/>
      <c r="DJ255" s="73"/>
      <c r="DK255" s="73"/>
      <c r="DL255" s="73"/>
      <c r="DM255" s="73"/>
      <c r="DN255" s="73"/>
      <c r="DO255" s="73"/>
      <c r="DP255" s="73"/>
      <c r="DQ255" s="73"/>
      <c r="DR255" s="73"/>
      <c r="DS255" s="73"/>
      <c r="DT255" s="73"/>
      <c r="DU255" s="74"/>
      <c r="DV255" s="74"/>
      <c r="DW255" s="72"/>
      <c r="DX255" s="72"/>
      <c r="DY255" s="72"/>
      <c r="DZ255" s="106" t="s">
        <v>215</v>
      </c>
      <c r="EA255" s="102" t="s">
        <v>216</v>
      </c>
    </row>
    <row r="256" ht="21.75" customHeight="1">
      <c r="A256" s="64"/>
      <c r="B256" s="70"/>
      <c r="C256" s="71"/>
      <c r="D256" s="71"/>
      <c r="E256" s="71"/>
      <c r="F256" s="81" t="s">
        <v>55</v>
      </c>
      <c r="G256" s="73"/>
      <c r="H256" s="73"/>
      <c r="I256" s="73"/>
      <c r="J256" s="73"/>
      <c r="K256" s="73"/>
      <c r="L256" s="73"/>
      <c r="M256" s="73"/>
      <c r="N256" s="73"/>
      <c r="O256" s="73"/>
      <c r="P256" s="73"/>
      <c r="Q256" s="73"/>
      <c r="R256" s="73"/>
      <c r="S256" s="73"/>
      <c r="T256" s="73"/>
      <c r="U256" s="73"/>
      <c r="V256" s="73"/>
      <c r="W256" s="73"/>
      <c r="X256" s="73"/>
      <c r="Y256" s="73"/>
      <c r="Z256" s="73"/>
      <c r="AA256" s="73"/>
      <c r="AB256" s="73"/>
      <c r="AC256" s="73"/>
      <c r="AD256" s="73"/>
      <c r="AE256" s="73">
        <f t="shared" ref="AE256:AG256" si="1275">M256+S256+Y256</f>
        <v>0</v>
      </c>
      <c r="AF256" s="73">
        <f t="shared" si="1275"/>
        <v>0</v>
      </c>
      <c r="AG256" s="73">
        <f t="shared" si="1275"/>
        <v>0</v>
      </c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73"/>
      <c r="AT256" s="73"/>
      <c r="AU256" s="73"/>
      <c r="AV256" s="73"/>
      <c r="AW256" s="73">
        <v>44290.0</v>
      </c>
      <c r="AX256" s="73">
        <v>0.0</v>
      </c>
      <c r="AY256" s="73">
        <v>44290.0</v>
      </c>
      <c r="AZ256" s="73"/>
      <c r="BA256" s="73"/>
      <c r="BB256" s="73"/>
      <c r="BC256" s="73">
        <f t="shared" ref="BC256:BE256" si="1276">AQ256+AW256</f>
        <v>44290</v>
      </c>
      <c r="BD256" s="73">
        <f t="shared" si="1276"/>
        <v>0</v>
      </c>
      <c r="BE256" s="73">
        <f t="shared" si="1276"/>
        <v>44290</v>
      </c>
      <c r="BF256" s="73"/>
      <c r="BG256" s="73"/>
      <c r="BH256" s="73"/>
      <c r="BI256" s="73"/>
      <c r="BJ256" s="73"/>
      <c r="BK256" s="73"/>
      <c r="BL256" s="73"/>
      <c r="BM256" s="73"/>
      <c r="BN256" s="73"/>
      <c r="BO256" s="73"/>
      <c r="BP256" s="73"/>
      <c r="BQ256" s="73"/>
      <c r="BR256" s="73"/>
      <c r="BS256" s="73"/>
      <c r="BT256" s="73"/>
      <c r="BU256" s="73"/>
      <c r="BV256" s="73"/>
      <c r="BW256" s="73"/>
      <c r="BX256" s="73"/>
      <c r="BY256" s="73"/>
      <c r="BZ256" s="73"/>
      <c r="CA256" s="73"/>
      <c r="CB256" s="73"/>
      <c r="CC256" s="73"/>
      <c r="CD256" s="73"/>
      <c r="CE256" s="73"/>
      <c r="CF256" s="73"/>
      <c r="CG256" s="73"/>
      <c r="CH256" s="73"/>
      <c r="CI256" s="73"/>
      <c r="CJ256" s="73"/>
      <c r="CK256" s="73"/>
      <c r="CL256" s="73"/>
      <c r="CM256" s="73"/>
      <c r="CN256" s="73"/>
      <c r="CO256" s="73"/>
      <c r="CP256" s="73"/>
      <c r="CQ256" s="73"/>
      <c r="CR256" s="73"/>
      <c r="CS256" s="73"/>
      <c r="CT256" s="73"/>
      <c r="CU256" s="73"/>
      <c r="CV256" s="73"/>
      <c r="CW256" s="73"/>
      <c r="CX256" s="73"/>
      <c r="CY256" s="73"/>
      <c r="CZ256" s="73"/>
      <c r="DA256" s="73"/>
      <c r="DB256" s="73"/>
      <c r="DC256" s="73"/>
      <c r="DD256" s="73"/>
      <c r="DE256" s="73"/>
      <c r="DF256" s="73"/>
      <c r="DG256" s="73"/>
      <c r="DH256" s="73"/>
      <c r="DI256" s="73"/>
      <c r="DJ256" s="73"/>
      <c r="DK256" s="73"/>
      <c r="DL256" s="73"/>
      <c r="DM256" s="73"/>
      <c r="DN256" s="73"/>
      <c r="DO256" s="73"/>
      <c r="DP256" s="73"/>
      <c r="DQ256" s="73"/>
      <c r="DR256" s="73"/>
      <c r="DS256" s="73"/>
      <c r="DT256" s="73"/>
      <c r="DU256" s="74"/>
      <c r="DV256" s="74"/>
      <c r="DW256" s="72"/>
      <c r="DX256" s="72"/>
      <c r="DY256" s="72"/>
      <c r="DZ256" s="106"/>
      <c r="EA256" s="102" t="s">
        <v>217</v>
      </c>
    </row>
    <row r="257" ht="21.75" customHeight="1">
      <c r="A257" s="58"/>
      <c r="B257" s="59"/>
      <c r="C257" s="33"/>
      <c r="D257" s="33">
        <v>3.0</v>
      </c>
      <c r="E257" s="33"/>
      <c r="F257" s="60" t="s">
        <v>218</v>
      </c>
      <c r="G257" s="29">
        <f t="shared" ref="G257:AD257" si="1277">SUM(G258:G269)</f>
        <v>3187684</v>
      </c>
      <c r="H257" s="29">
        <f t="shared" si="1277"/>
        <v>2309709</v>
      </c>
      <c r="I257" s="29">
        <f t="shared" si="1277"/>
        <v>877975</v>
      </c>
      <c r="J257" s="29">
        <f t="shared" si="1277"/>
        <v>0</v>
      </c>
      <c r="K257" s="29">
        <f t="shared" si="1277"/>
        <v>0</v>
      </c>
      <c r="L257" s="29">
        <f t="shared" si="1277"/>
        <v>0</v>
      </c>
      <c r="M257" s="29">
        <f t="shared" si="1277"/>
        <v>15561</v>
      </c>
      <c r="N257" s="29">
        <f t="shared" si="1277"/>
        <v>15561</v>
      </c>
      <c r="O257" s="29">
        <f t="shared" si="1277"/>
        <v>0</v>
      </c>
      <c r="P257" s="29">
        <f t="shared" si="1277"/>
        <v>0</v>
      </c>
      <c r="Q257" s="29">
        <f t="shared" si="1277"/>
        <v>0</v>
      </c>
      <c r="R257" s="29">
        <f t="shared" si="1277"/>
        <v>0</v>
      </c>
      <c r="S257" s="29">
        <f t="shared" si="1277"/>
        <v>56173.193</v>
      </c>
      <c r="T257" s="29">
        <f t="shared" si="1277"/>
        <v>56173.193</v>
      </c>
      <c r="U257" s="29">
        <f t="shared" si="1277"/>
        <v>0</v>
      </c>
      <c r="V257" s="29">
        <f t="shared" si="1277"/>
        <v>407337</v>
      </c>
      <c r="W257" s="29">
        <f t="shared" si="1277"/>
        <v>0</v>
      </c>
      <c r="X257" s="29">
        <f t="shared" si="1277"/>
        <v>407337</v>
      </c>
      <c r="Y257" s="29">
        <f t="shared" si="1277"/>
        <v>0</v>
      </c>
      <c r="Z257" s="29">
        <f t="shared" si="1277"/>
        <v>0</v>
      </c>
      <c r="AA257" s="29">
        <f t="shared" si="1277"/>
        <v>0</v>
      </c>
      <c r="AB257" s="29">
        <f t="shared" si="1277"/>
        <v>407337</v>
      </c>
      <c r="AC257" s="29">
        <f t="shared" si="1277"/>
        <v>0</v>
      </c>
      <c r="AD257" s="29">
        <f t="shared" si="1277"/>
        <v>407337</v>
      </c>
      <c r="AE257" s="103">
        <f t="shared" ref="AE257:AG257" si="1278">M257+S257+Y257</f>
        <v>71734.193</v>
      </c>
      <c r="AF257" s="103">
        <f t="shared" si="1278"/>
        <v>71734.193</v>
      </c>
      <c r="AG257" s="103">
        <f t="shared" si="1278"/>
        <v>0</v>
      </c>
      <c r="AH257" s="29">
        <f t="shared" ref="AH257:BE257" si="1279">SUM(AH258:AH269)</f>
        <v>30379</v>
      </c>
      <c r="AI257" s="29">
        <f t="shared" si="1279"/>
        <v>0</v>
      </c>
      <c r="AJ257" s="29">
        <f t="shared" si="1279"/>
        <v>30379</v>
      </c>
      <c r="AK257" s="29">
        <f t="shared" si="1279"/>
        <v>0</v>
      </c>
      <c r="AL257" s="29">
        <f t="shared" si="1279"/>
        <v>0</v>
      </c>
      <c r="AM257" s="29">
        <f t="shared" si="1279"/>
        <v>0</v>
      </c>
      <c r="AN257" s="29">
        <f t="shared" si="1279"/>
        <v>437716</v>
      </c>
      <c r="AO257" s="29">
        <f t="shared" si="1279"/>
        <v>0</v>
      </c>
      <c r="AP257" s="29">
        <f t="shared" si="1279"/>
        <v>437716</v>
      </c>
      <c r="AQ257" s="29">
        <f t="shared" si="1279"/>
        <v>71734.193</v>
      </c>
      <c r="AR257" s="29">
        <f t="shared" si="1279"/>
        <v>71734.193</v>
      </c>
      <c r="AS257" s="29">
        <f t="shared" si="1279"/>
        <v>0</v>
      </c>
      <c r="AT257" s="29">
        <f t="shared" si="1279"/>
        <v>78002</v>
      </c>
      <c r="AU257" s="29">
        <f t="shared" si="1279"/>
        <v>559</v>
      </c>
      <c r="AV257" s="29">
        <f t="shared" si="1279"/>
        <v>77443</v>
      </c>
      <c r="AW257" s="29">
        <f t="shared" si="1279"/>
        <v>12047.1553</v>
      </c>
      <c r="AX257" s="29">
        <f t="shared" si="1279"/>
        <v>0</v>
      </c>
      <c r="AY257" s="29">
        <f t="shared" si="1279"/>
        <v>12047.1553</v>
      </c>
      <c r="AZ257" s="29">
        <f t="shared" si="1279"/>
        <v>515718</v>
      </c>
      <c r="BA257" s="29">
        <f t="shared" si="1279"/>
        <v>559</v>
      </c>
      <c r="BB257" s="29">
        <f t="shared" si="1279"/>
        <v>515159</v>
      </c>
      <c r="BC257" s="29">
        <f t="shared" si="1279"/>
        <v>83781.3483</v>
      </c>
      <c r="BD257" s="29">
        <f t="shared" si="1279"/>
        <v>71734.193</v>
      </c>
      <c r="BE257" s="29">
        <f t="shared" si="1279"/>
        <v>12047.1553</v>
      </c>
      <c r="BF257" s="29">
        <f t="shared" ref="BF257:DY257" si="1280">SUM(BF258:BF268)</f>
        <v>19268</v>
      </c>
      <c r="BG257" s="29">
        <f t="shared" si="1280"/>
        <v>0</v>
      </c>
      <c r="BH257" s="29">
        <f t="shared" si="1280"/>
        <v>19268</v>
      </c>
      <c r="BI257" s="29">
        <f t="shared" si="1280"/>
        <v>66142.193</v>
      </c>
      <c r="BJ257" s="29">
        <f t="shared" si="1280"/>
        <v>66142.193</v>
      </c>
      <c r="BK257" s="29">
        <f t="shared" si="1280"/>
        <v>0</v>
      </c>
      <c r="BL257" s="29">
        <f t="shared" si="1280"/>
        <v>51701</v>
      </c>
      <c r="BM257" s="29">
        <f t="shared" si="1280"/>
        <v>559</v>
      </c>
      <c r="BN257" s="29">
        <f t="shared" si="1280"/>
        <v>51142</v>
      </c>
      <c r="BO257" s="29">
        <f t="shared" si="1280"/>
        <v>78189.3483</v>
      </c>
      <c r="BP257" s="29">
        <f t="shared" si="1280"/>
        <v>66142.193</v>
      </c>
      <c r="BQ257" s="29">
        <f t="shared" si="1280"/>
        <v>12047.1553</v>
      </c>
      <c r="BR257" s="29">
        <f t="shared" si="1280"/>
        <v>3212</v>
      </c>
      <c r="BS257" s="29">
        <f t="shared" si="1280"/>
        <v>0</v>
      </c>
      <c r="BT257" s="29">
        <f t="shared" si="1280"/>
        <v>3212</v>
      </c>
      <c r="BU257" s="29">
        <f t="shared" si="1280"/>
        <v>132284.386</v>
      </c>
      <c r="BV257" s="29">
        <f t="shared" si="1280"/>
        <v>132284.386</v>
      </c>
      <c r="BW257" s="29">
        <f t="shared" si="1280"/>
        <v>0</v>
      </c>
      <c r="BX257" s="29">
        <f t="shared" si="1280"/>
        <v>9634</v>
      </c>
      <c r="BY257" s="29">
        <f t="shared" si="1280"/>
        <v>0</v>
      </c>
      <c r="BZ257" s="29">
        <f t="shared" si="1280"/>
        <v>9634</v>
      </c>
      <c r="CA257" s="29">
        <f t="shared" si="1280"/>
        <v>264568.772</v>
      </c>
      <c r="CB257" s="29">
        <f t="shared" si="1280"/>
        <v>264568.772</v>
      </c>
      <c r="CC257" s="29">
        <f t="shared" si="1280"/>
        <v>0</v>
      </c>
      <c r="CD257" s="29">
        <f t="shared" si="1280"/>
        <v>19269</v>
      </c>
      <c r="CE257" s="29">
        <f t="shared" si="1280"/>
        <v>0</v>
      </c>
      <c r="CF257" s="29">
        <f t="shared" si="1280"/>
        <v>19269</v>
      </c>
      <c r="CG257" s="29">
        <f t="shared" si="1280"/>
        <v>462995.351</v>
      </c>
      <c r="CH257" s="29">
        <f t="shared" si="1280"/>
        <v>462995.351</v>
      </c>
      <c r="CI257" s="29">
        <f t="shared" si="1280"/>
        <v>0</v>
      </c>
      <c r="CJ257" s="29">
        <f t="shared" si="1280"/>
        <v>32115</v>
      </c>
      <c r="CK257" s="29">
        <f t="shared" si="1280"/>
        <v>0</v>
      </c>
      <c r="CL257" s="29">
        <f t="shared" si="1280"/>
        <v>32115</v>
      </c>
      <c r="CM257" s="29">
        <f t="shared" si="1280"/>
        <v>859848.509</v>
      </c>
      <c r="CN257" s="29">
        <f t="shared" si="1280"/>
        <v>859848.509</v>
      </c>
      <c r="CO257" s="29">
        <f t="shared" si="1280"/>
        <v>0</v>
      </c>
      <c r="CP257" s="29">
        <f t="shared" si="1280"/>
        <v>473799.2121</v>
      </c>
      <c r="CQ257" s="29">
        <f t="shared" si="1280"/>
        <v>442713.2121</v>
      </c>
      <c r="CR257" s="29">
        <f t="shared" si="1280"/>
        <v>31086</v>
      </c>
      <c r="CS257" s="29">
        <f t="shared" si="1280"/>
        <v>1587412.632</v>
      </c>
      <c r="CT257" s="29">
        <f t="shared" si="1280"/>
        <v>1587412.632</v>
      </c>
      <c r="CU257" s="29">
        <f t="shared" si="1280"/>
        <v>0</v>
      </c>
      <c r="CV257" s="29">
        <f t="shared" si="1280"/>
        <v>710699.8182</v>
      </c>
      <c r="CW257" s="29">
        <f t="shared" si="1280"/>
        <v>664069.8182</v>
      </c>
      <c r="CX257" s="29">
        <f t="shared" si="1280"/>
        <v>46630</v>
      </c>
      <c r="CY257" s="29">
        <f t="shared" si="1280"/>
        <v>2910256.492</v>
      </c>
      <c r="CZ257" s="29">
        <f t="shared" si="1280"/>
        <v>2910256.492</v>
      </c>
      <c r="DA257" s="29">
        <f t="shared" si="1280"/>
        <v>0</v>
      </c>
      <c r="DB257" s="29">
        <f t="shared" si="1280"/>
        <v>1184500.03</v>
      </c>
      <c r="DC257" s="29">
        <f t="shared" si="1280"/>
        <v>1106783.03</v>
      </c>
      <c r="DD257" s="29">
        <f t="shared" si="1280"/>
        <v>77717</v>
      </c>
      <c r="DE257" s="29">
        <f t="shared" si="1280"/>
        <v>5357517.633</v>
      </c>
      <c r="DF257" s="29">
        <f t="shared" si="1280"/>
        <v>5357517.633</v>
      </c>
      <c r="DG257" s="29">
        <f t="shared" si="1280"/>
        <v>0</v>
      </c>
      <c r="DH257" s="29">
        <f t="shared" si="1280"/>
        <v>2368999.061</v>
      </c>
      <c r="DI257" s="29">
        <f t="shared" si="1280"/>
        <v>2213566.061</v>
      </c>
      <c r="DJ257" s="29">
        <f t="shared" si="1280"/>
        <v>155433</v>
      </c>
      <c r="DK257" s="29">
        <f t="shared" si="1280"/>
        <v>9855186.757</v>
      </c>
      <c r="DL257" s="29">
        <f t="shared" si="1280"/>
        <v>9855186.757</v>
      </c>
      <c r="DM257" s="29">
        <f t="shared" si="1280"/>
        <v>0</v>
      </c>
      <c r="DN257" s="29">
        <f t="shared" si="1280"/>
        <v>0</v>
      </c>
      <c r="DO257" s="29">
        <f t="shared" si="1280"/>
        <v>0</v>
      </c>
      <c r="DP257" s="29">
        <f t="shared" si="1280"/>
        <v>0</v>
      </c>
      <c r="DQ257" s="29">
        <f t="shared" si="1280"/>
        <v>18122960.88</v>
      </c>
      <c r="DR257" s="29">
        <f t="shared" si="1280"/>
        <v>18122960.88</v>
      </c>
      <c r="DS257" s="29">
        <f t="shared" si="1280"/>
        <v>0</v>
      </c>
      <c r="DT257" s="29">
        <f t="shared" si="1280"/>
        <v>0</v>
      </c>
      <c r="DU257" s="29">
        <f t="shared" si="1280"/>
        <v>0</v>
      </c>
      <c r="DV257" s="29">
        <f t="shared" si="1280"/>
        <v>0</v>
      </c>
      <c r="DW257" s="29">
        <f t="shared" si="1280"/>
        <v>33335665.27</v>
      </c>
      <c r="DX257" s="29">
        <f t="shared" si="1280"/>
        <v>33335665.27</v>
      </c>
      <c r="DY257" s="29">
        <f t="shared" si="1280"/>
        <v>0</v>
      </c>
      <c r="DZ257" s="108"/>
      <c r="EA257" s="105"/>
    </row>
    <row r="258" ht="21.75" customHeight="1">
      <c r="A258" s="58"/>
      <c r="B258" s="70" t="s">
        <v>219</v>
      </c>
      <c r="C258" s="71" t="s">
        <v>220</v>
      </c>
      <c r="D258" s="71" t="s">
        <v>221</v>
      </c>
      <c r="E258" s="71" t="s">
        <v>210</v>
      </c>
      <c r="F258" s="106" t="s">
        <v>222</v>
      </c>
      <c r="G258" s="73">
        <v>2213566.0</v>
      </c>
      <c r="H258" s="73">
        <v>2213566.0</v>
      </c>
      <c r="I258" s="73">
        <v>0.0</v>
      </c>
      <c r="J258" s="73">
        <v>0.0</v>
      </c>
      <c r="K258" s="73">
        <v>0.0</v>
      </c>
      <c r="L258" s="73">
        <v>0.0</v>
      </c>
      <c r="M258" s="73">
        <v>0.0</v>
      </c>
      <c r="N258" s="73">
        <v>0.0</v>
      </c>
      <c r="O258" s="73">
        <v>0.0</v>
      </c>
      <c r="P258" s="73">
        <v>0.0</v>
      </c>
      <c r="Q258" s="73">
        <v>0.0</v>
      </c>
      <c r="R258" s="73">
        <v>0.0</v>
      </c>
      <c r="S258" s="73">
        <v>0.0</v>
      </c>
      <c r="T258" s="73">
        <v>0.0</v>
      </c>
      <c r="U258" s="73">
        <v>0.0</v>
      </c>
      <c r="V258" s="73">
        <v>0.0</v>
      </c>
      <c r="W258" s="73">
        <v>0.0</v>
      </c>
      <c r="X258" s="73">
        <v>0.0</v>
      </c>
      <c r="Y258" s="73">
        <v>0.0</v>
      </c>
      <c r="Z258" s="73">
        <v>0.0</v>
      </c>
      <c r="AA258" s="73">
        <v>0.0</v>
      </c>
      <c r="AB258" s="73">
        <f t="shared" ref="AB258:AG258" si="1281">J258+P258+V258</f>
        <v>0</v>
      </c>
      <c r="AC258" s="73">
        <f t="shared" si="1281"/>
        <v>0</v>
      </c>
      <c r="AD258" s="73">
        <f t="shared" si="1281"/>
        <v>0</v>
      </c>
      <c r="AE258" s="73">
        <f t="shared" si="1281"/>
        <v>0</v>
      </c>
      <c r="AF258" s="73">
        <f t="shared" si="1281"/>
        <v>0</v>
      </c>
      <c r="AG258" s="73">
        <f t="shared" si="1281"/>
        <v>0</v>
      </c>
      <c r="AH258" s="73">
        <v>0.0</v>
      </c>
      <c r="AI258" s="73">
        <v>0.0</v>
      </c>
      <c r="AJ258" s="73">
        <v>0.0</v>
      </c>
      <c r="AK258" s="73">
        <v>0.0</v>
      </c>
      <c r="AL258" s="73">
        <v>0.0</v>
      </c>
      <c r="AM258" s="73">
        <v>0.0</v>
      </c>
      <c r="AN258" s="73">
        <f t="shared" ref="AN258:AS258" si="1282">AB258+AH258</f>
        <v>0</v>
      </c>
      <c r="AO258" s="73">
        <f t="shared" si="1282"/>
        <v>0</v>
      </c>
      <c r="AP258" s="73">
        <f t="shared" si="1282"/>
        <v>0</v>
      </c>
      <c r="AQ258" s="73">
        <f t="shared" si="1282"/>
        <v>0</v>
      </c>
      <c r="AR258" s="73">
        <f t="shared" si="1282"/>
        <v>0</v>
      </c>
      <c r="AS258" s="73">
        <f t="shared" si="1282"/>
        <v>0</v>
      </c>
      <c r="AT258" s="73">
        <v>0.0</v>
      </c>
      <c r="AU258" s="73">
        <v>0.0</v>
      </c>
      <c r="AV258" s="73">
        <v>0.0</v>
      </c>
      <c r="AW258" s="73">
        <v>0.0</v>
      </c>
      <c r="AX258" s="73">
        <v>0.0</v>
      </c>
      <c r="AY258" s="73">
        <v>0.0</v>
      </c>
      <c r="AZ258" s="98">
        <f t="shared" ref="AZ258:BE258" si="1283">AN258+AT258</f>
        <v>0</v>
      </c>
      <c r="BA258" s="98">
        <f t="shared" si="1283"/>
        <v>0</v>
      </c>
      <c r="BB258" s="98">
        <f t="shared" si="1283"/>
        <v>0</v>
      </c>
      <c r="BC258" s="73">
        <f t="shared" si="1283"/>
        <v>0</v>
      </c>
      <c r="BD258" s="73">
        <f t="shared" si="1283"/>
        <v>0</v>
      </c>
      <c r="BE258" s="73">
        <f t="shared" si="1283"/>
        <v>0</v>
      </c>
      <c r="BF258" s="109"/>
      <c r="BG258" s="109"/>
      <c r="BH258" s="109"/>
      <c r="BI258" s="109"/>
      <c r="BJ258" s="109"/>
      <c r="BK258" s="109"/>
      <c r="BL258" s="109"/>
      <c r="BM258" s="109"/>
      <c r="BN258" s="109"/>
      <c r="BO258" s="109"/>
      <c r="BP258" s="109"/>
      <c r="BQ258" s="109"/>
      <c r="BR258" s="109"/>
      <c r="BS258" s="109"/>
      <c r="BT258" s="109"/>
      <c r="BU258" s="109"/>
      <c r="BV258" s="109"/>
      <c r="BW258" s="109"/>
      <c r="BX258" s="109"/>
      <c r="BY258" s="109"/>
      <c r="BZ258" s="109"/>
      <c r="CA258" s="109"/>
      <c r="CB258" s="109"/>
      <c r="CC258" s="109"/>
      <c r="CD258" s="109"/>
      <c r="CE258" s="109"/>
      <c r="CF258" s="109"/>
      <c r="CG258" s="109"/>
      <c r="CH258" s="109"/>
      <c r="CI258" s="109"/>
      <c r="CJ258" s="109"/>
      <c r="CK258" s="109"/>
      <c r="CL258" s="109"/>
      <c r="CM258" s="109"/>
      <c r="CN258" s="109"/>
      <c r="CO258" s="109"/>
      <c r="CP258" s="73">
        <v>442713.2121010001</v>
      </c>
      <c r="CQ258" s="73">
        <v>442713.2121010001</v>
      </c>
      <c r="CR258" s="73">
        <v>0.0</v>
      </c>
      <c r="CS258" s="73"/>
      <c r="CT258" s="73"/>
      <c r="CU258" s="73"/>
      <c r="CV258" s="73">
        <v>664069.8181515001</v>
      </c>
      <c r="CW258" s="73">
        <v>664069.8181515001</v>
      </c>
      <c r="CX258" s="73">
        <v>0.0</v>
      </c>
      <c r="CY258" s="73"/>
      <c r="CZ258" s="73"/>
      <c r="DA258" s="73"/>
      <c r="DB258" s="73">
        <v>1106783.0302525002</v>
      </c>
      <c r="DC258" s="73">
        <v>1106783.0302525002</v>
      </c>
      <c r="DD258" s="73">
        <v>0.0</v>
      </c>
      <c r="DE258" s="73"/>
      <c r="DF258" s="73"/>
      <c r="DG258" s="73"/>
      <c r="DH258" s="73">
        <v>2213566.0605050004</v>
      </c>
      <c r="DI258" s="73">
        <v>2213566.0605050004</v>
      </c>
      <c r="DJ258" s="73">
        <v>0.0</v>
      </c>
      <c r="DK258" s="109"/>
      <c r="DL258" s="109"/>
      <c r="DM258" s="109"/>
      <c r="DN258" s="109"/>
      <c r="DO258" s="109"/>
      <c r="DP258" s="109"/>
      <c r="DQ258" s="109"/>
      <c r="DR258" s="109"/>
      <c r="DS258" s="109"/>
      <c r="DT258" s="109"/>
      <c r="DU258" s="110"/>
      <c r="DV258" s="110"/>
      <c r="DW258" s="110"/>
      <c r="DX258" s="110"/>
      <c r="DY258" s="110"/>
      <c r="DZ258" s="107" t="s">
        <v>223</v>
      </c>
      <c r="EA258" s="111"/>
    </row>
    <row r="259" ht="21.75" customHeight="1">
      <c r="A259" s="58"/>
      <c r="B259" s="70"/>
      <c r="C259" s="71"/>
      <c r="D259" s="71"/>
      <c r="E259" s="71"/>
      <c r="F259" s="81" t="s">
        <v>55</v>
      </c>
      <c r="G259" s="73"/>
      <c r="H259" s="73"/>
      <c r="I259" s="73"/>
      <c r="J259" s="73"/>
      <c r="K259" s="73"/>
      <c r="L259" s="73"/>
      <c r="M259" s="73"/>
      <c r="N259" s="73"/>
      <c r="O259" s="73"/>
      <c r="P259" s="73"/>
      <c r="Q259" s="73"/>
      <c r="R259" s="73"/>
      <c r="S259" s="73"/>
      <c r="T259" s="73"/>
      <c r="U259" s="73"/>
      <c r="V259" s="73"/>
      <c r="W259" s="73"/>
      <c r="X259" s="73"/>
      <c r="Y259" s="73"/>
      <c r="Z259" s="73"/>
      <c r="AA259" s="73"/>
      <c r="AB259" s="73"/>
      <c r="AC259" s="73"/>
      <c r="AD259" s="73"/>
      <c r="AE259" s="73">
        <f t="shared" ref="AE259:AG259" si="1284">M259+S259+Y259</f>
        <v>0</v>
      </c>
      <c r="AF259" s="73">
        <f t="shared" si="1284"/>
        <v>0</v>
      </c>
      <c r="AG259" s="73">
        <f t="shared" si="1284"/>
        <v>0</v>
      </c>
      <c r="AH259" s="73"/>
      <c r="AI259" s="73"/>
      <c r="AJ259" s="73"/>
      <c r="AK259" s="73"/>
      <c r="AL259" s="73"/>
      <c r="AM259" s="73"/>
      <c r="AN259" s="73"/>
      <c r="AO259" s="73"/>
      <c r="AP259" s="73"/>
      <c r="AQ259" s="73"/>
      <c r="AR259" s="73"/>
      <c r="AS259" s="73"/>
      <c r="AT259" s="73"/>
      <c r="AU259" s="73"/>
      <c r="AV259" s="73"/>
      <c r="AW259" s="73">
        <v>0.0</v>
      </c>
      <c r="AX259" s="73">
        <v>0.0</v>
      </c>
      <c r="AY259" s="73">
        <v>0.0</v>
      </c>
      <c r="AZ259" s="98"/>
      <c r="BA259" s="98"/>
      <c r="BB259" s="98"/>
      <c r="BC259" s="73">
        <f t="shared" ref="BC259:BE259" si="1285">AQ259+AW259</f>
        <v>0</v>
      </c>
      <c r="BD259" s="73">
        <f t="shared" si="1285"/>
        <v>0</v>
      </c>
      <c r="BE259" s="73">
        <f t="shared" si="1285"/>
        <v>0</v>
      </c>
      <c r="BF259" s="109"/>
      <c r="BG259" s="109"/>
      <c r="BH259" s="109"/>
      <c r="BI259" s="109"/>
      <c r="BJ259" s="109"/>
      <c r="BK259" s="109"/>
      <c r="BL259" s="109"/>
      <c r="BM259" s="109"/>
      <c r="BN259" s="109"/>
      <c r="BO259" s="109"/>
      <c r="BP259" s="109"/>
      <c r="BQ259" s="109"/>
      <c r="BR259" s="109"/>
      <c r="BS259" s="109"/>
      <c r="BT259" s="109"/>
      <c r="BU259" s="109"/>
      <c r="BV259" s="109"/>
      <c r="BW259" s="109"/>
      <c r="BX259" s="109"/>
      <c r="BY259" s="109"/>
      <c r="BZ259" s="109"/>
      <c r="CA259" s="109"/>
      <c r="CB259" s="109"/>
      <c r="CC259" s="109"/>
      <c r="CD259" s="109"/>
      <c r="CE259" s="109"/>
      <c r="CF259" s="109"/>
      <c r="CG259" s="109"/>
      <c r="CH259" s="109"/>
      <c r="CI259" s="109"/>
      <c r="CJ259" s="109"/>
      <c r="CK259" s="109"/>
      <c r="CL259" s="109"/>
      <c r="CM259" s="109"/>
      <c r="CN259" s="109"/>
      <c r="CO259" s="109"/>
      <c r="CP259" s="73"/>
      <c r="CQ259" s="73"/>
      <c r="CR259" s="73"/>
      <c r="CS259" s="73"/>
      <c r="CT259" s="73"/>
      <c r="CU259" s="73"/>
      <c r="CV259" s="73"/>
      <c r="CW259" s="73"/>
      <c r="CX259" s="73"/>
      <c r="CY259" s="73"/>
      <c r="CZ259" s="73"/>
      <c r="DA259" s="73"/>
      <c r="DB259" s="73"/>
      <c r="DC259" s="73"/>
      <c r="DD259" s="73"/>
      <c r="DE259" s="73"/>
      <c r="DF259" s="73"/>
      <c r="DG259" s="73"/>
      <c r="DH259" s="73"/>
      <c r="DI259" s="73"/>
      <c r="DJ259" s="73"/>
      <c r="DK259" s="109"/>
      <c r="DL259" s="109"/>
      <c r="DM259" s="109"/>
      <c r="DN259" s="109"/>
      <c r="DO259" s="109"/>
      <c r="DP259" s="109"/>
      <c r="DQ259" s="109"/>
      <c r="DR259" s="109"/>
      <c r="DS259" s="109"/>
      <c r="DT259" s="109"/>
      <c r="DU259" s="110"/>
      <c r="DV259" s="110"/>
      <c r="DW259" s="110"/>
      <c r="DX259" s="110"/>
      <c r="DY259" s="110"/>
      <c r="DZ259" s="107"/>
      <c r="EA259" s="111"/>
    </row>
    <row r="260" ht="21.75" customHeight="1">
      <c r="A260" s="64"/>
      <c r="B260" s="70" t="s">
        <v>40</v>
      </c>
      <c r="C260" s="71" t="s">
        <v>224</v>
      </c>
      <c r="D260" s="71" t="s">
        <v>41</v>
      </c>
      <c r="E260" s="71" t="s">
        <v>58</v>
      </c>
      <c r="F260" s="106" t="s">
        <v>225</v>
      </c>
      <c r="G260" s="73">
        <v>430578.0</v>
      </c>
      <c r="H260" s="73">
        <v>5592.0</v>
      </c>
      <c r="I260" s="73">
        <v>424986.0</v>
      </c>
      <c r="J260" s="73">
        <v>0.0</v>
      </c>
      <c r="K260" s="73">
        <v>0.0</v>
      </c>
      <c r="L260" s="73">
        <v>0.0</v>
      </c>
      <c r="M260" s="73">
        <f>N260+O260</f>
        <v>2592</v>
      </c>
      <c r="N260" s="73">
        <v>2592.0</v>
      </c>
      <c r="O260" s="73">
        <v>0.0</v>
      </c>
      <c r="P260" s="73">
        <f>Q260+R260</f>
        <v>0</v>
      </c>
      <c r="Q260" s="73">
        <v>0.0</v>
      </c>
      <c r="R260" s="73">
        <v>0.0</v>
      </c>
      <c r="S260" s="73">
        <f>T260+U260</f>
        <v>0</v>
      </c>
      <c r="T260" s="73">
        <v>0.0</v>
      </c>
      <c r="U260" s="73">
        <v>0.0</v>
      </c>
      <c r="V260" s="73">
        <v>106245.0</v>
      </c>
      <c r="W260" s="73">
        <v>0.0</v>
      </c>
      <c r="X260" s="73">
        <v>106245.0</v>
      </c>
      <c r="Y260" s="73">
        <v>0.0</v>
      </c>
      <c r="Z260" s="73">
        <v>0.0</v>
      </c>
      <c r="AA260" s="73">
        <v>0.0</v>
      </c>
      <c r="AB260" s="73">
        <f t="shared" ref="AB260:AG260" si="1286">J260+P260+V260</f>
        <v>106245</v>
      </c>
      <c r="AC260" s="73">
        <f t="shared" si="1286"/>
        <v>0</v>
      </c>
      <c r="AD260" s="73">
        <f t="shared" si="1286"/>
        <v>106245</v>
      </c>
      <c r="AE260" s="73">
        <f t="shared" si="1286"/>
        <v>2592</v>
      </c>
      <c r="AF260" s="73">
        <f t="shared" si="1286"/>
        <v>2592</v>
      </c>
      <c r="AG260" s="73">
        <f t="shared" si="1286"/>
        <v>0</v>
      </c>
      <c r="AH260" s="73">
        <v>0.0</v>
      </c>
      <c r="AI260" s="73">
        <v>0.0</v>
      </c>
      <c r="AJ260" s="73">
        <v>0.0</v>
      </c>
      <c r="AK260" s="73">
        <v>0.0</v>
      </c>
      <c r="AL260" s="73">
        <v>0.0</v>
      </c>
      <c r="AM260" s="73">
        <v>0.0</v>
      </c>
      <c r="AN260" s="73">
        <f t="shared" ref="AN260:AS260" si="1287">AB260+AH260</f>
        <v>106245</v>
      </c>
      <c r="AO260" s="73">
        <f t="shared" si="1287"/>
        <v>0</v>
      </c>
      <c r="AP260" s="73">
        <f t="shared" si="1287"/>
        <v>106245</v>
      </c>
      <c r="AQ260" s="73">
        <f t="shared" si="1287"/>
        <v>2592</v>
      </c>
      <c r="AR260" s="73">
        <f t="shared" si="1287"/>
        <v>2592</v>
      </c>
      <c r="AS260" s="73">
        <f t="shared" si="1287"/>
        <v>0</v>
      </c>
      <c r="AT260" s="73">
        <v>32433.0</v>
      </c>
      <c r="AU260" s="73">
        <v>559.0</v>
      </c>
      <c r="AV260" s="73">
        <v>31874.0</v>
      </c>
      <c r="AW260" s="73">
        <v>0.0</v>
      </c>
      <c r="AX260" s="73">
        <v>0.0</v>
      </c>
      <c r="AY260" s="73">
        <v>0.0</v>
      </c>
      <c r="AZ260" s="73">
        <f t="shared" ref="AZ260:BE260" si="1288">AN260+AT260</f>
        <v>138678</v>
      </c>
      <c r="BA260" s="73">
        <f t="shared" si="1288"/>
        <v>559</v>
      </c>
      <c r="BB260" s="73">
        <f t="shared" si="1288"/>
        <v>138119</v>
      </c>
      <c r="BC260" s="73">
        <f t="shared" si="1288"/>
        <v>2592</v>
      </c>
      <c r="BD260" s="73">
        <f t="shared" si="1288"/>
        <v>2592</v>
      </c>
      <c r="BE260" s="73">
        <f t="shared" si="1288"/>
        <v>0</v>
      </c>
      <c r="BF260" s="73">
        <v>10733.0</v>
      </c>
      <c r="BG260" s="73">
        <v>0.0</v>
      </c>
      <c r="BH260" s="73">
        <v>10733.0</v>
      </c>
      <c r="BI260" s="73">
        <v>0.0</v>
      </c>
      <c r="BJ260" s="73">
        <v>0.0</v>
      </c>
      <c r="BK260" s="73">
        <v>0.0</v>
      </c>
      <c r="BL260" s="73">
        <f t="shared" ref="BL260:BQ260" si="1289">AH260+AT260+BF260</f>
        <v>43166</v>
      </c>
      <c r="BM260" s="73">
        <f t="shared" si="1289"/>
        <v>559</v>
      </c>
      <c r="BN260" s="73">
        <f t="shared" si="1289"/>
        <v>42607</v>
      </c>
      <c r="BO260" s="73">
        <f t="shared" si="1289"/>
        <v>0</v>
      </c>
      <c r="BP260" s="73">
        <f t="shared" si="1289"/>
        <v>0</v>
      </c>
      <c r="BQ260" s="73">
        <f t="shared" si="1289"/>
        <v>0</v>
      </c>
      <c r="BR260" s="73">
        <v>1789.0</v>
      </c>
      <c r="BS260" s="73">
        <v>0.0</v>
      </c>
      <c r="BT260" s="73">
        <v>1789.0</v>
      </c>
      <c r="BU260" s="73">
        <v>0.0</v>
      </c>
      <c r="BV260" s="73">
        <v>0.0</v>
      </c>
      <c r="BW260" s="73">
        <v>0.0</v>
      </c>
      <c r="BX260" s="73">
        <v>5366.0</v>
      </c>
      <c r="BY260" s="73">
        <v>0.0</v>
      </c>
      <c r="BZ260" s="73">
        <v>5366.0</v>
      </c>
      <c r="CA260" s="73">
        <v>0.0</v>
      </c>
      <c r="CB260" s="73">
        <v>0.0</v>
      </c>
      <c r="CC260" s="73">
        <v>0.0</v>
      </c>
      <c r="CD260" s="73">
        <v>10733.0</v>
      </c>
      <c r="CE260" s="73">
        <v>0.0</v>
      </c>
      <c r="CF260" s="73">
        <v>10733.0</v>
      </c>
      <c r="CG260" s="73">
        <v>0.0</v>
      </c>
      <c r="CH260" s="73">
        <v>0.0</v>
      </c>
      <c r="CI260" s="73">
        <v>0.0</v>
      </c>
      <c r="CJ260" s="73">
        <f t="shared" ref="CJ260:CO260" si="1290">BR260+BX260+CD260</f>
        <v>17888</v>
      </c>
      <c r="CK260" s="73">
        <f t="shared" si="1290"/>
        <v>0</v>
      </c>
      <c r="CL260" s="73">
        <f t="shared" si="1290"/>
        <v>17888</v>
      </c>
      <c r="CM260" s="73">
        <f t="shared" si="1290"/>
        <v>0</v>
      </c>
      <c r="CN260" s="73">
        <f t="shared" si="1290"/>
        <v>0</v>
      </c>
      <c r="CO260" s="73">
        <f t="shared" si="1290"/>
        <v>0</v>
      </c>
      <c r="CP260" s="73">
        <v>17315.0</v>
      </c>
      <c r="CQ260" s="73">
        <v>0.0</v>
      </c>
      <c r="CR260" s="73">
        <v>17315.0</v>
      </c>
      <c r="CS260" s="73">
        <v>0.0</v>
      </c>
      <c r="CT260" s="73">
        <v>0.0</v>
      </c>
      <c r="CU260" s="73">
        <v>0.0</v>
      </c>
      <c r="CV260" s="73">
        <v>25973.0</v>
      </c>
      <c r="CW260" s="73">
        <v>0.0</v>
      </c>
      <c r="CX260" s="73">
        <v>25973.0</v>
      </c>
      <c r="CY260" s="73">
        <v>0.0</v>
      </c>
      <c r="CZ260" s="73">
        <v>0.0</v>
      </c>
      <c r="DA260" s="73">
        <v>0.0</v>
      </c>
      <c r="DB260" s="73">
        <v>43288.0</v>
      </c>
      <c r="DC260" s="73">
        <v>0.0</v>
      </c>
      <c r="DD260" s="73">
        <v>43288.0</v>
      </c>
      <c r="DE260" s="73">
        <v>0.0</v>
      </c>
      <c r="DF260" s="73">
        <v>0.0</v>
      </c>
      <c r="DG260" s="73">
        <v>0.0</v>
      </c>
      <c r="DH260" s="73">
        <f t="shared" ref="DH260:DM260" si="1291">CP260+CV260+DB260</f>
        <v>86576</v>
      </c>
      <c r="DI260" s="73">
        <f t="shared" si="1291"/>
        <v>0</v>
      </c>
      <c r="DJ260" s="73">
        <f t="shared" si="1291"/>
        <v>86576</v>
      </c>
      <c r="DK260" s="73">
        <f t="shared" si="1291"/>
        <v>0</v>
      </c>
      <c r="DL260" s="73">
        <f t="shared" si="1291"/>
        <v>0</v>
      </c>
      <c r="DM260" s="73">
        <f t="shared" si="1291"/>
        <v>0</v>
      </c>
      <c r="DN260" s="73"/>
      <c r="DO260" s="73"/>
      <c r="DP260" s="73"/>
      <c r="DQ260" s="73"/>
      <c r="DR260" s="73"/>
      <c r="DS260" s="73"/>
      <c r="DT260" s="73"/>
      <c r="DU260" s="74"/>
      <c r="DV260" s="74"/>
      <c r="DW260" s="72"/>
      <c r="DX260" s="72"/>
      <c r="DY260" s="72"/>
      <c r="DZ260" s="72" t="s">
        <v>226</v>
      </c>
      <c r="EA260" s="76" t="s">
        <v>227</v>
      </c>
    </row>
    <row r="261" ht="21.75" customHeight="1">
      <c r="A261" s="64"/>
      <c r="B261" s="70"/>
      <c r="C261" s="71"/>
      <c r="D261" s="71"/>
      <c r="E261" s="71"/>
      <c r="F261" s="81" t="s">
        <v>55</v>
      </c>
      <c r="G261" s="73"/>
      <c r="H261" s="73"/>
      <c r="I261" s="73"/>
      <c r="J261" s="73"/>
      <c r="K261" s="73"/>
      <c r="L261" s="73"/>
      <c r="M261" s="73"/>
      <c r="N261" s="73"/>
      <c r="O261" s="73"/>
      <c r="P261" s="73"/>
      <c r="Q261" s="73"/>
      <c r="R261" s="73"/>
      <c r="S261" s="73"/>
      <c r="T261" s="73"/>
      <c r="U261" s="73"/>
      <c r="V261" s="73"/>
      <c r="W261" s="73"/>
      <c r="X261" s="73"/>
      <c r="Y261" s="73"/>
      <c r="Z261" s="73"/>
      <c r="AA261" s="73"/>
      <c r="AB261" s="73"/>
      <c r="AC261" s="73"/>
      <c r="AD261" s="73"/>
      <c r="AE261" s="73">
        <f t="shared" ref="AE261:AG261" si="1292">M261+S261+Y261</f>
        <v>0</v>
      </c>
      <c r="AF261" s="73">
        <f t="shared" si="1292"/>
        <v>0</v>
      </c>
      <c r="AG261" s="73">
        <f t="shared" si="1292"/>
        <v>0</v>
      </c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73"/>
      <c r="AT261" s="73"/>
      <c r="AU261" s="73"/>
      <c r="AV261" s="73"/>
      <c r="AW261" s="73">
        <v>0.0</v>
      </c>
      <c r="AX261" s="73">
        <v>0.0</v>
      </c>
      <c r="AY261" s="73">
        <v>0.0</v>
      </c>
      <c r="AZ261" s="73"/>
      <c r="BA261" s="73"/>
      <c r="BB261" s="73"/>
      <c r="BC261" s="73">
        <f t="shared" ref="BC261:BE261" si="1293">AQ261+AW261</f>
        <v>0</v>
      </c>
      <c r="BD261" s="73">
        <f t="shared" si="1293"/>
        <v>0</v>
      </c>
      <c r="BE261" s="73">
        <f t="shared" si="1293"/>
        <v>0</v>
      </c>
      <c r="BF261" s="73"/>
      <c r="BG261" s="73"/>
      <c r="BH261" s="73"/>
      <c r="BI261" s="73"/>
      <c r="BJ261" s="73"/>
      <c r="BK261" s="73"/>
      <c r="BL261" s="73"/>
      <c r="BM261" s="73"/>
      <c r="BN261" s="73"/>
      <c r="BO261" s="73"/>
      <c r="BP261" s="73"/>
      <c r="BQ261" s="73"/>
      <c r="BR261" s="73"/>
      <c r="BS261" s="73"/>
      <c r="BT261" s="73"/>
      <c r="BU261" s="73"/>
      <c r="BV261" s="73"/>
      <c r="BW261" s="73"/>
      <c r="BX261" s="73"/>
      <c r="BY261" s="73"/>
      <c r="BZ261" s="73"/>
      <c r="CA261" s="73"/>
      <c r="CB261" s="73"/>
      <c r="CC261" s="73"/>
      <c r="CD261" s="73"/>
      <c r="CE261" s="73"/>
      <c r="CF261" s="73"/>
      <c r="CG261" s="73"/>
      <c r="CH261" s="73"/>
      <c r="CI261" s="73"/>
      <c r="CJ261" s="73"/>
      <c r="CK261" s="73"/>
      <c r="CL261" s="73"/>
      <c r="CM261" s="73"/>
      <c r="CN261" s="73"/>
      <c r="CO261" s="73"/>
      <c r="CP261" s="73"/>
      <c r="CQ261" s="73"/>
      <c r="CR261" s="73"/>
      <c r="CS261" s="73"/>
      <c r="CT261" s="73"/>
      <c r="CU261" s="73"/>
      <c r="CV261" s="73"/>
      <c r="CW261" s="73"/>
      <c r="CX261" s="73"/>
      <c r="CY261" s="73"/>
      <c r="CZ261" s="73"/>
      <c r="DA261" s="73"/>
      <c r="DB261" s="73"/>
      <c r="DC261" s="73"/>
      <c r="DD261" s="73"/>
      <c r="DE261" s="73"/>
      <c r="DF261" s="73"/>
      <c r="DG261" s="73"/>
      <c r="DH261" s="73"/>
      <c r="DI261" s="73"/>
      <c r="DJ261" s="73"/>
      <c r="DK261" s="73"/>
      <c r="DL261" s="73"/>
      <c r="DM261" s="73"/>
      <c r="DN261" s="73"/>
      <c r="DO261" s="73"/>
      <c r="DP261" s="73"/>
      <c r="DQ261" s="73"/>
      <c r="DR261" s="73"/>
      <c r="DS261" s="73"/>
      <c r="DT261" s="73"/>
      <c r="DU261" s="74"/>
      <c r="DV261" s="74"/>
      <c r="DW261" s="72"/>
      <c r="DX261" s="72"/>
      <c r="DY261" s="72"/>
      <c r="DZ261" s="72"/>
      <c r="EA261" s="76"/>
    </row>
    <row r="262" ht="21.75" customHeight="1">
      <c r="A262" s="64"/>
      <c r="B262" s="70" t="s">
        <v>40</v>
      </c>
      <c r="C262" s="71" t="s">
        <v>228</v>
      </c>
      <c r="D262" s="71" t="s">
        <v>41</v>
      </c>
      <c r="E262" s="71" t="s">
        <v>44</v>
      </c>
      <c r="F262" s="106" t="s">
        <v>229</v>
      </c>
      <c r="G262" s="73">
        <v>161103.0</v>
      </c>
      <c r="H262" s="73">
        <v>0.0</v>
      </c>
      <c r="I262" s="73">
        <v>161103.0</v>
      </c>
      <c r="J262" s="73">
        <v>0.0</v>
      </c>
      <c r="K262" s="73">
        <v>0.0</v>
      </c>
      <c r="L262" s="73">
        <v>0.0</v>
      </c>
      <c r="M262" s="73">
        <f>N262+O262</f>
        <v>0</v>
      </c>
      <c r="N262" s="73">
        <v>0.0</v>
      </c>
      <c r="O262" s="73">
        <v>0.0</v>
      </c>
      <c r="P262" s="73">
        <f>Q262+R262</f>
        <v>0</v>
      </c>
      <c r="Q262" s="73">
        <v>0.0</v>
      </c>
      <c r="R262" s="73">
        <v>0.0</v>
      </c>
      <c r="S262" s="73">
        <f>T262+U262</f>
        <v>0</v>
      </c>
      <c r="T262" s="73">
        <v>0.0</v>
      </c>
      <c r="U262" s="73">
        <v>0.0</v>
      </c>
      <c r="V262" s="73">
        <v>161103.0</v>
      </c>
      <c r="W262" s="73">
        <v>0.0</v>
      </c>
      <c r="X262" s="73">
        <v>161103.0</v>
      </c>
      <c r="Y262" s="73">
        <v>0.0</v>
      </c>
      <c r="Z262" s="73">
        <v>0.0</v>
      </c>
      <c r="AA262" s="73">
        <v>0.0</v>
      </c>
      <c r="AB262" s="73">
        <f t="shared" ref="AB262:AG262" si="1294">J262+P262+V262</f>
        <v>161103</v>
      </c>
      <c r="AC262" s="73">
        <f t="shared" si="1294"/>
        <v>0</v>
      </c>
      <c r="AD262" s="73">
        <f t="shared" si="1294"/>
        <v>161103</v>
      </c>
      <c r="AE262" s="73">
        <f t="shared" si="1294"/>
        <v>0</v>
      </c>
      <c r="AF262" s="73">
        <f t="shared" si="1294"/>
        <v>0</v>
      </c>
      <c r="AG262" s="73">
        <f t="shared" si="1294"/>
        <v>0</v>
      </c>
      <c r="AH262" s="73">
        <v>0.0</v>
      </c>
      <c r="AI262" s="73">
        <v>0.0</v>
      </c>
      <c r="AJ262" s="73">
        <v>0.0</v>
      </c>
      <c r="AK262" s="73">
        <v>0.0</v>
      </c>
      <c r="AL262" s="73">
        <v>0.0</v>
      </c>
      <c r="AM262" s="73">
        <v>0.0</v>
      </c>
      <c r="AN262" s="73">
        <f t="shared" ref="AN262:AS262" si="1295">AB262+AH262</f>
        <v>161103</v>
      </c>
      <c r="AO262" s="73">
        <f t="shared" si="1295"/>
        <v>0</v>
      </c>
      <c r="AP262" s="73">
        <f t="shared" si="1295"/>
        <v>161103</v>
      </c>
      <c r="AQ262" s="73">
        <f t="shared" si="1295"/>
        <v>0</v>
      </c>
      <c r="AR262" s="73">
        <f t="shared" si="1295"/>
        <v>0</v>
      </c>
      <c r="AS262" s="73">
        <f t="shared" si="1295"/>
        <v>0</v>
      </c>
      <c r="AT262" s="73">
        <v>0.0</v>
      </c>
      <c r="AU262" s="73">
        <v>0.0</v>
      </c>
      <c r="AV262" s="73">
        <v>0.0</v>
      </c>
      <c r="AW262" s="73">
        <v>12047.1553</v>
      </c>
      <c r="AX262" s="73">
        <v>0.0</v>
      </c>
      <c r="AY262" s="73">
        <v>12047.1553</v>
      </c>
      <c r="AZ262" s="73">
        <f t="shared" ref="AZ262:BE262" si="1296">AN262+AT262</f>
        <v>161103</v>
      </c>
      <c r="BA262" s="73">
        <f t="shared" si="1296"/>
        <v>0</v>
      </c>
      <c r="BB262" s="73">
        <f t="shared" si="1296"/>
        <v>161103</v>
      </c>
      <c r="BC262" s="73">
        <f t="shared" si="1296"/>
        <v>12047.1553</v>
      </c>
      <c r="BD262" s="73">
        <f t="shared" si="1296"/>
        <v>0</v>
      </c>
      <c r="BE262" s="73">
        <f t="shared" si="1296"/>
        <v>12047.1553</v>
      </c>
      <c r="BF262" s="73">
        <v>4246.0</v>
      </c>
      <c r="BG262" s="73">
        <v>0.0</v>
      </c>
      <c r="BH262" s="73">
        <v>4246.0</v>
      </c>
      <c r="BI262" s="73">
        <v>0.0</v>
      </c>
      <c r="BJ262" s="73">
        <v>0.0</v>
      </c>
      <c r="BK262" s="73">
        <v>0.0</v>
      </c>
      <c r="BL262" s="73">
        <f t="shared" ref="BL262:BQ262" si="1297">AH262+AT262+BF262</f>
        <v>4246</v>
      </c>
      <c r="BM262" s="73">
        <f t="shared" si="1297"/>
        <v>0</v>
      </c>
      <c r="BN262" s="73">
        <f t="shared" si="1297"/>
        <v>4246</v>
      </c>
      <c r="BO262" s="73">
        <f t="shared" si="1297"/>
        <v>12047.1553</v>
      </c>
      <c r="BP262" s="73">
        <f t="shared" si="1297"/>
        <v>0</v>
      </c>
      <c r="BQ262" s="73">
        <f t="shared" si="1297"/>
        <v>12047.1553</v>
      </c>
      <c r="BR262" s="73">
        <v>708.0</v>
      </c>
      <c r="BS262" s="73">
        <v>0.0</v>
      </c>
      <c r="BT262" s="73">
        <v>708.0</v>
      </c>
      <c r="BU262" s="73">
        <v>0.0</v>
      </c>
      <c r="BV262" s="73">
        <v>0.0</v>
      </c>
      <c r="BW262" s="73">
        <v>0.0</v>
      </c>
      <c r="BX262" s="73">
        <v>2123.0</v>
      </c>
      <c r="BY262" s="73">
        <v>0.0</v>
      </c>
      <c r="BZ262" s="73">
        <v>2123.0</v>
      </c>
      <c r="CA262" s="73">
        <v>0.0</v>
      </c>
      <c r="CB262" s="73">
        <v>0.0</v>
      </c>
      <c r="CC262" s="73">
        <v>0.0</v>
      </c>
      <c r="CD262" s="73">
        <v>4247.0</v>
      </c>
      <c r="CE262" s="73">
        <v>0.0</v>
      </c>
      <c r="CF262" s="73">
        <v>4247.0</v>
      </c>
      <c r="CG262" s="73">
        <v>0.0</v>
      </c>
      <c r="CH262" s="73">
        <v>0.0</v>
      </c>
      <c r="CI262" s="73">
        <v>0.0</v>
      </c>
      <c r="CJ262" s="73">
        <f t="shared" ref="CJ262:CO262" si="1298">BR262+BX262+CD262</f>
        <v>7078</v>
      </c>
      <c r="CK262" s="73">
        <f t="shared" si="1298"/>
        <v>0</v>
      </c>
      <c r="CL262" s="73">
        <f t="shared" si="1298"/>
        <v>7078</v>
      </c>
      <c r="CM262" s="73">
        <f t="shared" si="1298"/>
        <v>0</v>
      </c>
      <c r="CN262" s="73">
        <f t="shared" si="1298"/>
        <v>0</v>
      </c>
      <c r="CO262" s="73">
        <f t="shared" si="1298"/>
        <v>0</v>
      </c>
      <c r="CP262" s="73">
        <v>6851.0</v>
      </c>
      <c r="CQ262" s="73">
        <v>0.0</v>
      </c>
      <c r="CR262" s="73">
        <v>6851.0</v>
      </c>
      <c r="CS262" s="73">
        <v>0.0</v>
      </c>
      <c r="CT262" s="73">
        <v>0.0</v>
      </c>
      <c r="CU262" s="73">
        <v>0.0</v>
      </c>
      <c r="CV262" s="73">
        <v>10277.0</v>
      </c>
      <c r="CW262" s="73">
        <v>0.0</v>
      </c>
      <c r="CX262" s="73">
        <v>10277.0</v>
      </c>
      <c r="CY262" s="73">
        <v>0.0</v>
      </c>
      <c r="CZ262" s="73">
        <v>0.0</v>
      </c>
      <c r="DA262" s="73">
        <v>0.0</v>
      </c>
      <c r="DB262" s="73">
        <v>17128.0</v>
      </c>
      <c r="DC262" s="73">
        <v>0.0</v>
      </c>
      <c r="DD262" s="73">
        <v>17128.0</v>
      </c>
      <c r="DE262" s="73">
        <v>0.0</v>
      </c>
      <c r="DF262" s="73">
        <v>0.0</v>
      </c>
      <c r="DG262" s="73">
        <v>0.0</v>
      </c>
      <c r="DH262" s="73">
        <f t="shared" ref="DH262:DM262" si="1299">CP262+CV262+DB262</f>
        <v>34256</v>
      </c>
      <c r="DI262" s="73">
        <f t="shared" si="1299"/>
        <v>0</v>
      </c>
      <c r="DJ262" s="73">
        <f t="shared" si="1299"/>
        <v>34256</v>
      </c>
      <c r="DK262" s="73">
        <f t="shared" si="1299"/>
        <v>0</v>
      </c>
      <c r="DL262" s="73">
        <f t="shared" si="1299"/>
        <v>0</v>
      </c>
      <c r="DM262" s="73">
        <f t="shared" si="1299"/>
        <v>0</v>
      </c>
      <c r="DN262" s="73"/>
      <c r="DO262" s="73"/>
      <c r="DP262" s="73"/>
      <c r="DQ262" s="73"/>
      <c r="DR262" s="73"/>
      <c r="DS262" s="73"/>
      <c r="DT262" s="73"/>
      <c r="DU262" s="74"/>
      <c r="DV262" s="74"/>
      <c r="DW262" s="72"/>
      <c r="DX262" s="72"/>
      <c r="DY262" s="72"/>
      <c r="DZ262" s="72"/>
      <c r="EA262" s="82" t="s">
        <v>230</v>
      </c>
    </row>
    <row r="263" ht="21.75" customHeight="1">
      <c r="A263" s="64"/>
      <c r="B263" s="70"/>
      <c r="C263" s="71"/>
      <c r="D263" s="71"/>
      <c r="E263" s="71"/>
      <c r="F263" s="81" t="s">
        <v>55</v>
      </c>
      <c r="G263" s="73"/>
      <c r="H263" s="73"/>
      <c r="I263" s="73"/>
      <c r="J263" s="73"/>
      <c r="K263" s="73"/>
      <c r="L263" s="73"/>
      <c r="M263" s="73"/>
      <c r="N263" s="73"/>
      <c r="O263" s="73"/>
      <c r="P263" s="73"/>
      <c r="Q263" s="73"/>
      <c r="R263" s="73"/>
      <c r="S263" s="73"/>
      <c r="T263" s="73"/>
      <c r="U263" s="73"/>
      <c r="V263" s="73"/>
      <c r="W263" s="73"/>
      <c r="X263" s="73"/>
      <c r="Y263" s="73"/>
      <c r="Z263" s="73"/>
      <c r="AA263" s="73"/>
      <c r="AB263" s="73"/>
      <c r="AC263" s="73"/>
      <c r="AD263" s="73"/>
      <c r="AE263" s="73">
        <f t="shared" ref="AE263:AG263" si="1300">M263+S263+Y263</f>
        <v>0</v>
      </c>
      <c r="AF263" s="73">
        <f t="shared" si="1300"/>
        <v>0</v>
      </c>
      <c r="AG263" s="73">
        <f t="shared" si="1300"/>
        <v>0</v>
      </c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73"/>
      <c r="AT263" s="73"/>
      <c r="AU263" s="73"/>
      <c r="AV263" s="73"/>
      <c r="AW263" s="73">
        <v>0.0</v>
      </c>
      <c r="AX263" s="73">
        <v>0.0</v>
      </c>
      <c r="AY263" s="73">
        <v>0.0</v>
      </c>
      <c r="AZ263" s="73"/>
      <c r="BA263" s="73"/>
      <c r="BB263" s="73"/>
      <c r="BC263" s="73">
        <f t="shared" ref="BC263:BE263" si="1301">AQ263+AW263</f>
        <v>0</v>
      </c>
      <c r="BD263" s="73">
        <f t="shared" si="1301"/>
        <v>0</v>
      </c>
      <c r="BE263" s="73">
        <f t="shared" si="1301"/>
        <v>0</v>
      </c>
      <c r="BF263" s="73"/>
      <c r="BG263" s="73"/>
      <c r="BH263" s="73"/>
      <c r="BI263" s="73"/>
      <c r="BJ263" s="73"/>
      <c r="BK263" s="73"/>
      <c r="BL263" s="73"/>
      <c r="BM263" s="73"/>
      <c r="BN263" s="73"/>
      <c r="BO263" s="73"/>
      <c r="BP263" s="73"/>
      <c r="BQ263" s="73"/>
      <c r="BR263" s="73"/>
      <c r="BS263" s="73"/>
      <c r="BT263" s="73"/>
      <c r="BU263" s="73"/>
      <c r="BV263" s="73"/>
      <c r="BW263" s="73"/>
      <c r="BX263" s="73"/>
      <c r="BY263" s="73"/>
      <c r="BZ263" s="73"/>
      <c r="CA263" s="73"/>
      <c r="CB263" s="73"/>
      <c r="CC263" s="73"/>
      <c r="CD263" s="73"/>
      <c r="CE263" s="73"/>
      <c r="CF263" s="73"/>
      <c r="CG263" s="73"/>
      <c r="CH263" s="73"/>
      <c r="CI263" s="73"/>
      <c r="CJ263" s="73"/>
      <c r="CK263" s="73"/>
      <c r="CL263" s="73"/>
      <c r="CM263" s="73"/>
      <c r="CN263" s="73"/>
      <c r="CO263" s="73"/>
      <c r="CP263" s="73"/>
      <c r="CQ263" s="73"/>
      <c r="CR263" s="73"/>
      <c r="CS263" s="73"/>
      <c r="CT263" s="73"/>
      <c r="CU263" s="73"/>
      <c r="CV263" s="73"/>
      <c r="CW263" s="73"/>
      <c r="CX263" s="73"/>
      <c r="CY263" s="73"/>
      <c r="CZ263" s="73"/>
      <c r="DA263" s="73"/>
      <c r="DB263" s="73"/>
      <c r="DC263" s="73"/>
      <c r="DD263" s="73"/>
      <c r="DE263" s="73"/>
      <c r="DF263" s="73"/>
      <c r="DG263" s="73"/>
      <c r="DH263" s="73"/>
      <c r="DI263" s="73"/>
      <c r="DJ263" s="73"/>
      <c r="DK263" s="73"/>
      <c r="DL263" s="73"/>
      <c r="DM263" s="73"/>
      <c r="DN263" s="73"/>
      <c r="DO263" s="73"/>
      <c r="DP263" s="73"/>
      <c r="DQ263" s="73"/>
      <c r="DR263" s="73"/>
      <c r="DS263" s="73"/>
      <c r="DT263" s="73"/>
      <c r="DU263" s="74"/>
      <c r="DV263" s="74"/>
      <c r="DW263" s="72"/>
      <c r="DX263" s="72"/>
      <c r="DY263" s="72"/>
      <c r="DZ263" s="72"/>
      <c r="EA263" s="82"/>
    </row>
    <row r="264" ht="21.75" customHeight="1">
      <c r="A264" s="64"/>
      <c r="B264" s="70" t="s">
        <v>40</v>
      </c>
      <c r="C264" s="71" t="s">
        <v>231</v>
      </c>
      <c r="D264" s="71" t="s">
        <v>41</v>
      </c>
      <c r="E264" s="71" t="s">
        <v>102</v>
      </c>
      <c r="F264" s="106" t="s">
        <v>232</v>
      </c>
      <c r="G264" s="73">
        <v>139989.0</v>
      </c>
      <c r="H264" s="73">
        <v>0.0</v>
      </c>
      <c r="I264" s="73">
        <v>139989.0</v>
      </c>
      <c r="J264" s="73">
        <v>0.0</v>
      </c>
      <c r="K264" s="73">
        <v>0.0</v>
      </c>
      <c r="L264" s="73">
        <v>0.0</v>
      </c>
      <c r="M264" s="73">
        <f>N264+O264</f>
        <v>0</v>
      </c>
      <c r="N264" s="73">
        <v>0.0</v>
      </c>
      <c r="O264" s="73">
        <v>0.0</v>
      </c>
      <c r="P264" s="73">
        <f>Q264+R264</f>
        <v>0</v>
      </c>
      <c r="Q264" s="73">
        <v>0.0</v>
      </c>
      <c r="R264" s="73">
        <v>0.0</v>
      </c>
      <c r="S264" s="73">
        <f>T264+U264</f>
        <v>3000</v>
      </c>
      <c r="T264" s="73">
        <v>3000.0</v>
      </c>
      <c r="U264" s="73">
        <v>0.0</v>
      </c>
      <c r="V264" s="73">
        <v>139989.0</v>
      </c>
      <c r="W264" s="73">
        <v>0.0</v>
      </c>
      <c r="X264" s="73">
        <v>139989.0</v>
      </c>
      <c r="Y264" s="73">
        <v>0.0</v>
      </c>
      <c r="Z264" s="73">
        <v>0.0</v>
      </c>
      <c r="AA264" s="73">
        <v>0.0</v>
      </c>
      <c r="AB264" s="73">
        <f t="shared" ref="AB264:AG264" si="1302">J264+P264+V264</f>
        <v>139989</v>
      </c>
      <c r="AC264" s="73">
        <f t="shared" si="1302"/>
        <v>0</v>
      </c>
      <c r="AD264" s="73">
        <f t="shared" si="1302"/>
        <v>139989</v>
      </c>
      <c r="AE264" s="73">
        <f t="shared" si="1302"/>
        <v>3000</v>
      </c>
      <c r="AF264" s="73">
        <f t="shared" si="1302"/>
        <v>3000</v>
      </c>
      <c r="AG264" s="73">
        <f t="shared" si="1302"/>
        <v>0</v>
      </c>
      <c r="AH264" s="73">
        <v>0.0</v>
      </c>
      <c r="AI264" s="73">
        <v>0.0</v>
      </c>
      <c r="AJ264" s="73">
        <v>0.0</v>
      </c>
      <c r="AK264" s="73">
        <v>0.0</v>
      </c>
      <c r="AL264" s="73">
        <v>0.0</v>
      </c>
      <c r="AM264" s="73">
        <v>0.0</v>
      </c>
      <c r="AN264" s="73">
        <f t="shared" ref="AN264:AS264" si="1303">AB264+AH264</f>
        <v>139989</v>
      </c>
      <c r="AO264" s="73">
        <f t="shared" si="1303"/>
        <v>0</v>
      </c>
      <c r="AP264" s="73">
        <f t="shared" si="1303"/>
        <v>139989</v>
      </c>
      <c r="AQ264" s="73">
        <f t="shared" si="1303"/>
        <v>3000</v>
      </c>
      <c r="AR264" s="73">
        <f t="shared" si="1303"/>
        <v>3000</v>
      </c>
      <c r="AS264" s="73">
        <f t="shared" si="1303"/>
        <v>0</v>
      </c>
      <c r="AT264" s="73">
        <v>0.0</v>
      </c>
      <c r="AU264" s="73">
        <v>0.0</v>
      </c>
      <c r="AV264" s="73">
        <v>0.0</v>
      </c>
      <c r="AW264" s="73">
        <v>0.0</v>
      </c>
      <c r="AX264" s="73">
        <v>0.0</v>
      </c>
      <c r="AY264" s="73">
        <v>0.0</v>
      </c>
      <c r="AZ264" s="73">
        <f t="shared" ref="AZ264:BE264" si="1304">AN264+AT264</f>
        <v>139989</v>
      </c>
      <c r="BA264" s="73">
        <f t="shared" si="1304"/>
        <v>0</v>
      </c>
      <c r="BB264" s="73">
        <f t="shared" si="1304"/>
        <v>139989</v>
      </c>
      <c r="BC264" s="73">
        <f t="shared" si="1304"/>
        <v>3000</v>
      </c>
      <c r="BD264" s="73">
        <f t="shared" si="1304"/>
        <v>3000</v>
      </c>
      <c r="BE264" s="73">
        <f t="shared" si="1304"/>
        <v>0</v>
      </c>
      <c r="BF264" s="73">
        <v>4289.0</v>
      </c>
      <c r="BG264" s="73">
        <v>0.0</v>
      </c>
      <c r="BH264" s="73">
        <v>4289.0</v>
      </c>
      <c r="BI264" s="73">
        <v>0.0</v>
      </c>
      <c r="BJ264" s="73">
        <v>0.0</v>
      </c>
      <c r="BK264" s="73">
        <v>0.0</v>
      </c>
      <c r="BL264" s="73">
        <f t="shared" ref="BL264:BQ264" si="1305">AH264+AT264+BF264</f>
        <v>4289</v>
      </c>
      <c r="BM264" s="73">
        <f t="shared" si="1305"/>
        <v>0</v>
      </c>
      <c r="BN264" s="73">
        <f t="shared" si="1305"/>
        <v>4289</v>
      </c>
      <c r="BO264" s="73">
        <f t="shared" si="1305"/>
        <v>0</v>
      </c>
      <c r="BP264" s="73">
        <f t="shared" si="1305"/>
        <v>0</v>
      </c>
      <c r="BQ264" s="73">
        <f t="shared" si="1305"/>
        <v>0</v>
      </c>
      <c r="BR264" s="73">
        <v>715.0</v>
      </c>
      <c r="BS264" s="73">
        <v>0.0</v>
      </c>
      <c r="BT264" s="73">
        <v>715.0</v>
      </c>
      <c r="BU264" s="73">
        <v>0.0</v>
      </c>
      <c r="BV264" s="73">
        <v>0.0</v>
      </c>
      <c r="BW264" s="73">
        <v>0.0</v>
      </c>
      <c r="BX264" s="73">
        <v>2145.0</v>
      </c>
      <c r="BY264" s="73">
        <v>0.0</v>
      </c>
      <c r="BZ264" s="73">
        <v>2145.0</v>
      </c>
      <c r="CA264" s="73">
        <v>0.0</v>
      </c>
      <c r="CB264" s="73">
        <v>0.0</v>
      </c>
      <c r="CC264" s="73">
        <v>0.0</v>
      </c>
      <c r="CD264" s="73">
        <v>4289.0</v>
      </c>
      <c r="CE264" s="73">
        <v>0.0</v>
      </c>
      <c r="CF264" s="73">
        <v>4289.0</v>
      </c>
      <c r="CG264" s="73">
        <v>0.0</v>
      </c>
      <c r="CH264" s="73">
        <v>0.0</v>
      </c>
      <c r="CI264" s="73">
        <v>0.0</v>
      </c>
      <c r="CJ264" s="73">
        <f t="shared" ref="CJ264:CO264" si="1306">BR264+BX264+CD264</f>
        <v>7149</v>
      </c>
      <c r="CK264" s="73">
        <f t="shared" si="1306"/>
        <v>0</v>
      </c>
      <c r="CL264" s="73">
        <f t="shared" si="1306"/>
        <v>7149</v>
      </c>
      <c r="CM264" s="73">
        <f t="shared" si="1306"/>
        <v>0</v>
      </c>
      <c r="CN264" s="73">
        <f t="shared" si="1306"/>
        <v>0</v>
      </c>
      <c r="CO264" s="73">
        <f t="shared" si="1306"/>
        <v>0</v>
      </c>
      <c r="CP264" s="73">
        <v>6920.0</v>
      </c>
      <c r="CQ264" s="73">
        <v>0.0</v>
      </c>
      <c r="CR264" s="73">
        <v>6920.0</v>
      </c>
      <c r="CS264" s="73">
        <v>0.0</v>
      </c>
      <c r="CT264" s="73">
        <v>0.0</v>
      </c>
      <c r="CU264" s="73">
        <v>0.0</v>
      </c>
      <c r="CV264" s="73">
        <v>10380.0</v>
      </c>
      <c r="CW264" s="73">
        <v>0.0</v>
      </c>
      <c r="CX264" s="73">
        <v>10380.0</v>
      </c>
      <c r="CY264" s="73">
        <v>0.0</v>
      </c>
      <c r="CZ264" s="73">
        <v>0.0</v>
      </c>
      <c r="DA264" s="73">
        <v>0.0</v>
      </c>
      <c r="DB264" s="73">
        <v>17301.0</v>
      </c>
      <c r="DC264" s="73">
        <v>0.0</v>
      </c>
      <c r="DD264" s="73">
        <v>17301.0</v>
      </c>
      <c r="DE264" s="73">
        <v>0.0</v>
      </c>
      <c r="DF264" s="73">
        <v>0.0</v>
      </c>
      <c r="DG264" s="73">
        <v>0.0</v>
      </c>
      <c r="DH264" s="73">
        <f t="shared" ref="DH264:DM264" si="1307">CP264+CV264+DB264</f>
        <v>34601</v>
      </c>
      <c r="DI264" s="73">
        <f t="shared" si="1307"/>
        <v>0</v>
      </c>
      <c r="DJ264" s="73">
        <f t="shared" si="1307"/>
        <v>34601</v>
      </c>
      <c r="DK264" s="73">
        <f t="shared" si="1307"/>
        <v>0</v>
      </c>
      <c r="DL264" s="73">
        <f t="shared" si="1307"/>
        <v>0</v>
      </c>
      <c r="DM264" s="73">
        <f t="shared" si="1307"/>
        <v>0</v>
      </c>
      <c r="DN264" s="73"/>
      <c r="DO264" s="73"/>
      <c r="DP264" s="73"/>
      <c r="DQ264" s="73"/>
      <c r="DR264" s="73"/>
      <c r="DS264" s="73"/>
      <c r="DT264" s="73"/>
      <c r="DU264" s="74"/>
      <c r="DV264" s="74"/>
      <c r="DW264" s="72"/>
      <c r="DX264" s="72"/>
      <c r="DY264" s="72"/>
      <c r="DZ264" s="75" t="s">
        <v>233</v>
      </c>
      <c r="EA264" s="112"/>
    </row>
    <row r="265" ht="21.75" customHeight="1">
      <c r="A265" s="64"/>
      <c r="B265" s="70"/>
      <c r="C265" s="71"/>
      <c r="D265" s="71"/>
      <c r="E265" s="71"/>
      <c r="F265" s="81" t="s">
        <v>55</v>
      </c>
      <c r="G265" s="73"/>
      <c r="H265" s="73"/>
      <c r="I265" s="73"/>
      <c r="J265" s="73"/>
      <c r="K265" s="73"/>
      <c r="L265" s="73"/>
      <c r="M265" s="73"/>
      <c r="N265" s="73"/>
      <c r="O265" s="73"/>
      <c r="P265" s="73"/>
      <c r="Q265" s="73"/>
      <c r="R265" s="73"/>
      <c r="S265" s="73"/>
      <c r="T265" s="73"/>
      <c r="U265" s="73"/>
      <c r="V265" s="73"/>
      <c r="W265" s="73"/>
      <c r="X265" s="73"/>
      <c r="Y265" s="73"/>
      <c r="Z265" s="73"/>
      <c r="AA265" s="73"/>
      <c r="AB265" s="73"/>
      <c r="AC265" s="73"/>
      <c r="AD265" s="73"/>
      <c r="AE265" s="73">
        <f t="shared" ref="AE265:AG265" si="1308">M265+S265+Y265</f>
        <v>0</v>
      </c>
      <c r="AF265" s="73">
        <f t="shared" si="1308"/>
        <v>0</v>
      </c>
      <c r="AG265" s="73">
        <f t="shared" si="1308"/>
        <v>0</v>
      </c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73"/>
      <c r="AT265" s="73"/>
      <c r="AU265" s="73"/>
      <c r="AV265" s="73"/>
      <c r="AW265" s="73">
        <v>0.0</v>
      </c>
      <c r="AX265" s="73">
        <v>0.0</v>
      </c>
      <c r="AY265" s="73">
        <v>0.0</v>
      </c>
      <c r="AZ265" s="73"/>
      <c r="BA265" s="73"/>
      <c r="BB265" s="73"/>
      <c r="BC265" s="73">
        <f t="shared" ref="BC265:BE265" si="1309">AQ265+AW265</f>
        <v>0</v>
      </c>
      <c r="BD265" s="73">
        <f t="shared" si="1309"/>
        <v>0</v>
      </c>
      <c r="BE265" s="73">
        <f t="shared" si="1309"/>
        <v>0</v>
      </c>
      <c r="BF265" s="73"/>
      <c r="BG265" s="73"/>
      <c r="BH265" s="73"/>
      <c r="BI265" s="73"/>
      <c r="BJ265" s="73"/>
      <c r="BK265" s="73"/>
      <c r="BL265" s="73"/>
      <c r="BM265" s="73"/>
      <c r="BN265" s="73"/>
      <c r="BO265" s="73"/>
      <c r="BP265" s="73"/>
      <c r="BQ265" s="73"/>
      <c r="BR265" s="73"/>
      <c r="BS265" s="73"/>
      <c r="BT265" s="73"/>
      <c r="BU265" s="73"/>
      <c r="BV265" s="73"/>
      <c r="BW265" s="73"/>
      <c r="BX265" s="73"/>
      <c r="BY265" s="73"/>
      <c r="BZ265" s="73"/>
      <c r="CA265" s="73"/>
      <c r="CB265" s="73"/>
      <c r="CC265" s="73"/>
      <c r="CD265" s="73"/>
      <c r="CE265" s="73"/>
      <c r="CF265" s="73"/>
      <c r="CG265" s="73"/>
      <c r="CH265" s="73"/>
      <c r="CI265" s="73"/>
      <c r="CJ265" s="73"/>
      <c r="CK265" s="73"/>
      <c r="CL265" s="73"/>
      <c r="CM265" s="73"/>
      <c r="CN265" s="73"/>
      <c r="CO265" s="73"/>
      <c r="CP265" s="73"/>
      <c r="CQ265" s="73"/>
      <c r="CR265" s="73"/>
      <c r="CS265" s="73"/>
      <c r="CT265" s="73"/>
      <c r="CU265" s="73"/>
      <c r="CV265" s="73"/>
      <c r="CW265" s="73"/>
      <c r="CX265" s="73"/>
      <c r="CY265" s="73"/>
      <c r="CZ265" s="73"/>
      <c r="DA265" s="73"/>
      <c r="DB265" s="73"/>
      <c r="DC265" s="73"/>
      <c r="DD265" s="73"/>
      <c r="DE265" s="73"/>
      <c r="DF265" s="73"/>
      <c r="DG265" s="73"/>
      <c r="DH265" s="73"/>
      <c r="DI265" s="73"/>
      <c r="DJ265" s="73"/>
      <c r="DK265" s="73"/>
      <c r="DL265" s="73"/>
      <c r="DM265" s="73"/>
      <c r="DN265" s="73"/>
      <c r="DO265" s="73"/>
      <c r="DP265" s="73"/>
      <c r="DQ265" s="73"/>
      <c r="DR265" s="73"/>
      <c r="DS265" s="73"/>
      <c r="DT265" s="73"/>
      <c r="DU265" s="74"/>
      <c r="DV265" s="74"/>
      <c r="DW265" s="72"/>
      <c r="DX265" s="72"/>
      <c r="DY265" s="72"/>
      <c r="DZ265" s="75"/>
      <c r="EA265" s="112"/>
    </row>
    <row r="266" ht="21.75" customHeight="1">
      <c r="A266" s="64"/>
      <c r="B266" s="70" t="s">
        <v>40</v>
      </c>
      <c r="C266" s="71" t="s">
        <v>234</v>
      </c>
      <c r="D266" s="71" t="s">
        <v>209</v>
      </c>
      <c r="E266" s="71" t="s">
        <v>64</v>
      </c>
      <c r="F266" s="72" t="s">
        <v>235</v>
      </c>
      <c r="G266" s="73">
        <v>151897.0</v>
      </c>
      <c r="H266" s="73">
        <v>0.0</v>
      </c>
      <c r="I266" s="73">
        <v>151897.0</v>
      </c>
      <c r="J266" s="73">
        <v>0.0</v>
      </c>
      <c r="K266" s="73">
        <v>0.0</v>
      </c>
      <c r="L266" s="73">
        <v>0.0</v>
      </c>
      <c r="M266" s="73">
        <f>N266+O266</f>
        <v>0</v>
      </c>
      <c r="N266" s="73">
        <v>0.0</v>
      </c>
      <c r="O266" s="73">
        <v>0.0</v>
      </c>
      <c r="P266" s="73">
        <v>0.0</v>
      </c>
      <c r="Q266" s="73">
        <v>0.0</v>
      </c>
      <c r="R266" s="73">
        <v>0.0</v>
      </c>
      <c r="S266" s="73">
        <f>T266+U266</f>
        <v>0</v>
      </c>
      <c r="T266" s="73">
        <v>0.0</v>
      </c>
      <c r="U266" s="73">
        <v>0.0</v>
      </c>
      <c r="V266" s="73">
        <v>0.0</v>
      </c>
      <c r="W266" s="73">
        <v>0.0</v>
      </c>
      <c r="X266" s="73">
        <v>0.0</v>
      </c>
      <c r="Y266" s="73">
        <f>Z266+AA266</f>
        <v>0</v>
      </c>
      <c r="Z266" s="73">
        <v>0.0</v>
      </c>
      <c r="AA266" s="73">
        <v>0.0</v>
      </c>
      <c r="AB266" s="73">
        <f t="shared" ref="AB266:AG266" si="1310">J266+P266+V266</f>
        <v>0</v>
      </c>
      <c r="AC266" s="73">
        <f t="shared" si="1310"/>
        <v>0</v>
      </c>
      <c r="AD266" s="73">
        <f t="shared" si="1310"/>
        <v>0</v>
      </c>
      <c r="AE266" s="73">
        <f t="shared" si="1310"/>
        <v>0</v>
      </c>
      <c r="AF266" s="73">
        <f t="shared" si="1310"/>
        <v>0</v>
      </c>
      <c r="AG266" s="73">
        <f t="shared" si="1310"/>
        <v>0</v>
      </c>
      <c r="AH266" s="73">
        <v>30379.0</v>
      </c>
      <c r="AI266" s="73">
        <v>0.0</v>
      </c>
      <c r="AJ266" s="73">
        <v>30379.0</v>
      </c>
      <c r="AK266" s="73">
        <v>0.0</v>
      </c>
      <c r="AL266" s="73">
        <v>0.0</v>
      </c>
      <c r="AM266" s="73">
        <v>0.0</v>
      </c>
      <c r="AN266" s="73">
        <f t="shared" ref="AN266:AS266" si="1311">AB266+AH266</f>
        <v>30379</v>
      </c>
      <c r="AO266" s="73">
        <f t="shared" si="1311"/>
        <v>0</v>
      </c>
      <c r="AP266" s="73">
        <f t="shared" si="1311"/>
        <v>30379</v>
      </c>
      <c r="AQ266" s="73">
        <f t="shared" si="1311"/>
        <v>0</v>
      </c>
      <c r="AR266" s="73">
        <f t="shared" si="1311"/>
        <v>0</v>
      </c>
      <c r="AS266" s="73">
        <f t="shared" si="1311"/>
        <v>0</v>
      </c>
      <c r="AT266" s="73">
        <v>45569.0</v>
      </c>
      <c r="AU266" s="73">
        <v>0.0</v>
      </c>
      <c r="AV266" s="73">
        <v>45569.0</v>
      </c>
      <c r="AW266" s="73">
        <v>0.0</v>
      </c>
      <c r="AX266" s="73">
        <v>0.0</v>
      </c>
      <c r="AY266" s="73">
        <v>0.0</v>
      </c>
      <c r="AZ266" s="73">
        <f t="shared" ref="AZ266:BE266" si="1312">AN266+AT266</f>
        <v>75948</v>
      </c>
      <c r="BA266" s="73">
        <f t="shared" si="1312"/>
        <v>0</v>
      </c>
      <c r="BB266" s="73">
        <f t="shared" si="1312"/>
        <v>75948</v>
      </c>
      <c r="BC266" s="73">
        <f t="shared" si="1312"/>
        <v>0</v>
      </c>
      <c r="BD266" s="73">
        <f t="shared" si="1312"/>
        <v>0</v>
      </c>
      <c r="BE266" s="73">
        <f t="shared" si="1312"/>
        <v>0</v>
      </c>
      <c r="BF266" s="73"/>
      <c r="BG266" s="73"/>
      <c r="BH266" s="73"/>
      <c r="BI266" s="73"/>
      <c r="BJ266" s="73"/>
      <c r="BK266" s="73"/>
      <c r="BL266" s="73"/>
      <c r="BM266" s="73"/>
      <c r="BN266" s="73"/>
      <c r="BO266" s="73"/>
      <c r="BP266" s="73"/>
      <c r="BQ266" s="73"/>
      <c r="BR266" s="73"/>
      <c r="BS266" s="73"/>
      <c r="BT266" s="73"/>
      <c r="BU266" s="73"/>
      <c r="BV266" s="73"/>
      <c r="BW266" s="73"/>
      <c r="BX266" s="73"/>
      <c r="BY266" s="73"/>
      <c r="BZ266" s="73"/>
      <c r="CA266" s="73"/>
      <c r="CB266" s="73"/>
      <c r="CC266" s="73"/>
      <c r="CD266" s="73"/>
      <c r="CE266" s="73"/>
      <c r="CF266" s="73"/>
      <c r="CG266" s="73"/>
      <c r="CH266" s="73"/>
      <c r="CI266" s="73"/>
      <c r="CJ266" s="73"/>
      <c r="CK266" s="73"/>
      <c r="CL266" s="73"/>
      <c r="CM266" s="73"/>
      <c r="CN266" s="73"/>
      <c r="CO266" s="73"/>
      <c r="CP266" s="73"/>
      <c r="CQ266" s="73"/>
      <c r="CR266" s="73"/>
      <c r="CS266" s="73"/>
      <c r="CT266" s="73"/>
      <c r="CU266" s="73"/>
      <c r="CV266" s="73"/>
      <c r="CW266" s="73"/>
      <c r="CX266" s="73"/>
      <c r="CY266" s="73"/>
      <c r="CZ266" s="73"/>
      <c r="DA266" s="73"/>
      <c r="DB266" s="73"/>
      <c r="DC266" s="73"/>
      <c r="DD266" s="73"/>
      <c r="DE266" s="73"/>
      <c r="DF266" s="73"/>
      <c r="DG266" s="73"/>
      <c r="DH266" s="73"/>
      <c r="DI266" s="73"/>
      <c r="DJ266" s="73"/>
      <c r="DK266" s="73"/>
      <c r="DL266" s="73"/>
      <c r="DM266" s="73"/>
      <c r="DN266" s="73"/>
      <c r="DO266" s="73"/>
      <c r="DP266" s="73"/>
      <c r="DQ266" s="73"/>
      <c r="DR266" s="73"/>
      <c r="DS266" s="73"/>
      <c r="DT266" s="73"/>
      <c r="DU266" s="74"/>
      <c r="DV266" s="74"/>
      <c r="DW266" s="72"/>
      <c r="DX266" s="72"/>
      <c r="DY266" s="72"/>
      <c r="DZ266" s="75"/>
      <c r="EA266" s="82" t="s">
        <v>236</v>
      </c>
    </row>
    <row r="267" ht="21.75" customHeight="1">
      <c r="A267" s="64"/>
      <c r="B267" s="70"/>
      <c r="C267" s="71"/>
      <c r="D267" s="71"/>
      <c r="E267" s="71"/>
      <c r="F267" s="81" t="s">
        <v>55</v>
      </c>
      <c r="G267" s="73"/>
      <c r="H267" s="73"/>
      <c r="I267" s="73"/>
      <c r="J267" s="73"/>
      <c r="K267" s="73"/>
      <c r="L267" s="73"/>
      <c r="M267" s="73"/>
      <c r="N267" s="73"/>
      <c r="O267" s="73"/>
      <c r="P267" s="73"/>
      <c r="Q267" s="73"/>
      <c r="R267" s="73"/>
      <c r="S267" s="73"/>
      <c r="T267" s="73"/>
      <c r="U267" s="73"/>
      <c r="V267" s="73"/>
      <c r="W267" s="73"/>
      <c r="X267" s="73"/>
      <c r="Y267" s="73"/>
      <c r="Z267" s="73"/>
      <c r="AA267" s="73"/>
      <c r="AB267" s="73"/>
      <c r="AC267" s="73"/>
      <c r="AD267" s="73"/>
      <c r="AE267" s="73">
        <f t="shared" ref="AE267:AG267" si="1313">M267+S267+Y267</f>
        <v>0</v>
      </c>
      <c r="AF267" s="73">
        <f t="shared" si="1313"/>
        <v>0</v>
      </c>
      <c r="AG267" s="73">
        <f t="shared" si="1313"/>
        <v>0</v>
      </c>
      <c r="AH267" s="73"/>
      <c r="AI267" s="73"/>
      <c r="AJ267" s="73"/>
      <c r="AK267" s="73"/>
      <c r="AL267" s="73"/>
      <c r="AM267" s="73"/>
      <c r="AN267" s="73"/>
      <c r="AO267" s="73"/>
      <c r="AP267" s="73"/>
      <c r="AQ267" s="73"/>
      <c r="AR267" s="73"/>
      <c r="AS267" s="73"/>
      <c r="AT267" s="73"/>
      <c r="AU267" s="73"/>
      <c r="AV267" s="73"/>
      <c r="AW267" s="73">
        <v>0.0</v>
      </c>
      <c r="AX267" s="73">
        <v>0.0</v>
      </c>
      <c r="AY267" s="73">
        <v>0.0</v>
      </c>
      <c r="AZ267" s="73"/>
      <c r="BA267" s="73"/>
      <c r="BB267" s="73"/>
      <c r="BC267" s="73">
        <f t="shared" ref="BC267:BE267" si="1314">AQ267+AW267</f>
        <v>0</v>
      </c>
      <c r="BD267" s="73">
        <f t="shared" si="1314"/>
        <v>0</v>
      </c>
      <c r="BE267" s="73">
        <f t="shared" si="1314"/>
        <v>0</v>
      </c>
      <c r="BF267" s="73"/>
      <c r="BG267" s="73"/>
      <c r="BH267" s="73"/>
      <c r="BI267" s="73"/>
      <c r="BJ267" s="73"/>
      <c r="BK267" s="73"/>
      <c r="BL267" s="73"/>
      <c r="BM267" s="73"/>
      <c r="BN267" s="73"/>
      <c r="BO267" s="73"/>
      <c r="BP267" s="73"/>
      <c r="BQ267" s="73"/>
      <c r="BR267" s="73"/>
      <c r="BS267" s="73"/>
      <c r="BT267" s="73"/>
      <c r="BU267" s="73"/>
      <c r="BV267" s="73"/>
      <c r="BW267" s="73"/>
      <c r="BX267" s="73"/>
      <c r="BY267" s="73"/>
      <c r="BZ267" s="73"/>
      <c r="CA267" s="73"/>
      <c r="CB267" s="73"/>
      <c r="CC267" s="73"/>
      <c r="CD267" s="73"/>
      <c r="CE267" s="73"/>
      <c r="CF267" s="73"/>
      <c r="CG267" s="73"/>
      <c r="CH267" s="73"/>
      <c r="CI267" s="73"/>
      <c r="CJ267" s="73"/>
      <c r="CK267" s="73"/>
      <c r="CL267" s="73"/>
      <c r="CM267" s="73"/>
      <c r="CN267" s="73"/>
      <c r="CO267" s="73"/>
      <c r="CP267" s="73"/>
      <c r="CQ267" s="73"/>
      <c r="CR267" s="73"/>
      <c r="CS267" s="73"/>
      <c r="CT267" s="73"/>
      <c r="CU267" s="73"/>
      <c r="CV267" s="73"/>
      <c r="CW267" s="73"/>
      <c r="CX267" s="73"/>
      <c r="CY267" s="73"/>
      <c r="CZ267" s="73"/>
      <c r="DA267" s="73"/>
      <c r="DB267" s="73"/>
      <c r="DC267" s="73"/>
      <c r="DD267" s="73"/>
      <c r="DE267" s="73"/>
      <c r="DF267" s="73"/>
      <c r="DG267" s="73"/>
      <c r="DH267" s="73"/>
      <c r="DI267" s="73"/>
      <c r="DJ267" s="73"/>
      <c r="DK267" s="73"/>
      <c r="DL267" s="73"/>
      <c r="DM267" s="73"/>
      <c r="DN267" s="73"/>
      <c r="DO267" s="73"/>
      <c r="DP267" s="73"/>
      <c r="DQ267" s="73"/>
      <c r="DR267" s="73"/>
      <c r="DS267" s="73"/>
      <c r="DT267" s="73"/>
      <c r="DU267" s="74"/>
      <c r="DV267" s="74"/>
      <c r="DW267" s="72"/>
      <c r="DX267" s="72"/>
      <c r="DY267" s="72"/>
      <c r="DZ267" s="75"/>
      <c r="EA267" s="82"/>
    </row>
    <row r="268" ht="21.75" customHeight="1">
      <c r="A268" s="64"/>
      <c r="B268" s="70" t="s">
        <v>40</v>
      </c>
      <c r="C268" s="71" t="s">
        <v>237</v>
      </c>
      <c r="D268" s="71" t="s">
        <v>221</v>
      </c>
      <c r="E268" s="71" t="s">
        <v>210</v>
      </c>
      <c r="F268" s="72" t="s">
        <v>238</v>
      </c>
      <c r="G268" s="73">
        <v>90551.0</v>
      </c>
      <c r="H268" s="73">
        <v>90551.0</v>
      </c>
      <c r="I268" s="73">
        <v>0.0</v>
      </c>
      <c r="J268" s="73">
        <f>K268+L268</f>
        <v>0</v>
      </c>
      <c r="K268" s="73">
        <v>0.0</v>
      </c>
      <c r="L268" s="73">
        <v>0.0</v>
      </c>
      <c r="M268" s="73">
        <f>N268+O268</f>
        <v>12969</v>
      </c>
      <c r="N268" s="73">
        <v>12969.0</v>
      </c>
      <c r="O268" s="73">
        <v>0.0</v>
      </c>
      <c r="P268" s="73">
        <f>Q268+R268</f>
        <v>0</v>
      </c>
      <c r="Q268" s="73">
        <v>0.0</v>
      </c>
      <c r="R268" s="73">
        <v>0.0</v>
      </c>
      <c r="S268" s="73">
        <f>T268+U268</f>
        <v>53173.193</v>
      </c>
      <c r="T268" s="73">
        <f>22818.51+30354.683</f>
        <v>53173.193</v>
      </c>
      <c r="U268" s="73">
        <v>0.0</v>
      </c>
      <c r="V268" s="73">
        <v>0.0</v>
      </c>
      <c r="W268" s="73">
        <v>0.0</v>
      </c>
      <c r="X268" s="73">
        <v>0.0</v>
      </c>
      <c r="Y268" s="73">
        <f>Z268+AA268</f>
        <v>0</v>
      </c>
      <c r="Z268" s="73">
        <v>0.0</v>
      </c>
      <c r="AA268" s="73">
        <v>0.0</v>
      </c>
      <c r="AB268" s="73">
        <f t="shared" ref="AB268:AG268" si="1315">J268+P268+V268</f>
        <v>0</v>
      </c>
      <c r="AC268" s="73">
        <f t="shared" si="1315"/>
        <v>0</v>
      </c>
      <c r="AD268" s="73">
        <f t="shared" si="1315"/>
        <v>0</v>
      </c>
      <c r="AE268" s="73">
        <f t="shared" si="1315"/>
        <v>66142.193</v>
      </c>
      <c r="AF268" s="73">
        <f t="shared" si="1315"/>
        <v>66142.193</v>
      </c>
      <c r="AG268" s="73">
        <f t="shared" si="1315"/>
        <v>0</v>
      </c>
      <c r="AH268" s="73">
        <v>0.0</v>
      </c>
      <c r="AI268" s="73">
        <v>0.0</v>
      </c>
      <c r="AJ268" s="73">
        <v>0.0</v>
      </c>
      <c r="AK268" s="73">
        <v>0.0</v>
      </c>
      <c r="AL268" s="73">
        <v>0.0</v>
      </c>
      <c r="AM268" s="73">
        <f>U268+AA268+AG268</f>
        <v>0</v>
      </c>
      <c r="AN268" s="73">
        <f t="shared" ref="AN268:AS268" si="1316">AB268+AH268</f>
        <v>0</v>
      </c>
      <c r="AO268" s="73">
        <f t="shared" si="1316"/>
        <v>0</v>
      </c>
      <c r="AP268" s="73">
        <f t="shared" si="1316"/>
        <v>0</v>
      </c>
      <c r="AQ268" s="73">
        <f t="shared" si="1316"/>
        <v>66142.193</v>
      </c>
      <c r="AR268" s="73">
        <f t="shared" si="1316"/>
        <v>66142.193</v>
      </c>
      <c r="AS268" s="73">
        <f t="shared" si="1316"/>
        <v>0</v>
      </c>
      <c r="AT268" s="73">
        <f t="shared" ref="AT268:AV268" si="1317">V268+AB268+AH268</f>
        <v>0</v>
      </c>
      <c r="AU268" s="73">
        <f t="shared" si="1317"/>
        <v>0</v>
      </c>
      <c r="AV268" s="73">
        <f t="shared" si="1317"/>
        <v>0</v>
      </c>
      <c r="AW268" s="73">
        <v>0.0</v>
      </c>
      <c r="AX268" s="73">
        <v>0.0</v>
      </c>
      <c r="AY268" s="73">
        <v>0.0</v>
      </c>
      <c r="AZ268" s="73">
        <f t="shared" ref="AZ268:BE268" si="1318">AN268+AT268</f>
        <v>0</v>
      </c>
      <c r="BA268" s="73">
        <f t="shared" si="1318"/>
        <v>0</v>
      </c>
      <c r="BB268" s="73">
        <f t="shared" si="1318"/>
        <v>0</v>
      </c>
      <c r="BC268" s="73">
        <f t="shared" si="1318"/>
        <v>66142.193</v>
      </c>
      <c r="BD268" s="73">
        <f t="shared" si="1318"/>
        <v>66142.193</v>
      </c>
      <c r="BE268" s="73">
        <f t="shared" si="1318"/>
        <v>0</v>
      </c>
      <c r="BF268" s="73">
        <f t="shared" ref="BF268:BK268" si="1319">AB268+AH268+AT268</f>
        <v>0</v>
      </c>
      <c r="BG268" s="73">
        <f t="shared" si="1319"/>
        <v>0</v>
      </c>
      <c r="BH268" s="73">
        <f t="shared" si="1319"/>
        <v>0</v>
      </c>
      <c r="BI268" s="73">
        <f t="shared" si="1319"/>
        <v>66142.193</v>
      </c>
      <c r="BJ268" s="73">
        <f t="shared" si="1319"/>
        <v>66142.193</v>
      </c>
      <c r="BK268" s="73">
        <f t="shared" si="1319"/>
        <v>0</v>
      </c>
      <c r="BL268" s="73">
        <f t="shared" ref="BL268:BQ268" si="1320">AH268+AT268+BF268</f>
        <v>0</v>
      </c>
      <c r="BM268" s="73">
        <f t="shared" si="1320"/>
        <v>0</v>
      </c>
      <c r="BN268" s="73">
        <f t="shared" si="1320"/>
        <v>0</v>
      </c>
      <c r="BO268" s="73">
        <f t="shared" si="1320"/>
        <v>66142.193</v>
      </c>
      <c r="BP268" s="73">
        <f t="shared" si="1320"/>
        <v>66142.193</v>
      </c>
      <c r="BQ268" s="73">
        <f t="shared" si="1320"/>
        <v>0</v>
      </c>
      <c r="BR268" s="73">
        <f t="shared" ref="BR268:BW268" si="1321">AT268+BF268+BL268</f>
        <v>0</v>
      </c>
      <c r="BS268" s="73">
        <f t="shared" si="1321"/>
        <v>0</v>
      </c>
      <c r="BT268" s="73">
        <f t="shared" si="1321"/>
        <v>0</v>
      </c>
      <c r="BU268" s="73">
        <f t="shared" si="1321"/>
        <v>132284.386</v>
      </c>
      <c r="BV268" s="73">
        <f t="shared" si="1321"/>
        <v>132284.386</v>
      </c>
      <c r="BW268" s="73">
        <f t="shared" si="1321"/>
        <v>0</v>
      </c>
      <c r="BX268" s="73">
        <f t="shared" ref="BX268:DY268" si="1322">BF268+BL268+BR268</f>
        <v>0</v>
      </c>
      <c r="BY268" s="73">
        <f t="shared" si="1322"/>
        <v>0</v>
      </c>
      <c r="BZ268" s="73">
        <f t="shared" si="1322"/>
        <v>0</v>
      </c>
      <c r="CA268" s="73">
        <f t="shared" si="1322"/>
        <v>264568.772</v>
      </c>
      <c r="CB268" s="73">
        <f t="shared" si="1322"/>
        <v>264568.772</v>
      </c>
      <c r="CC268" s="73">
        <f t="shared" si="1322"/>
        <v>0</v>
      </c>
      <c r="CD268" s="73">
        <f t="shared" si="1322"/>
        <v>0</v>
      </c>
      <c r="CE268" s="73">
        <f t="shared" si="1322"/>
        <v>0</v>
      </c>
      <c r="CF268" s="73">
        <f t="shared" si="1322"/>
        <v>0</v>
      </c>
      <c r="CG268" s="73">
        <f t="shared" si="1322"/>
        <v>462995.351</v>
      </c>
      <c r="CH268" s="73">
        <f t="shared" si="1322"/>
        <v>462995.351</v>
      </c>
      <c r="CI268" s="73">
        <f t="shared" si="1322"/>
        <v>0</v>
      </c>
      <c r="CJ268" s="73">
        <f t="shared" si="1322"/>
        <v>0</v>
      </c>
      <c r="CK268" s="73">
        <f t="shared" si="1322"/>
        <v>0</v>
      </c>
      <c r="CL268" s="73">
        <f t="shared" si="1322"/>
        <v>0</v>
      </c>
      <c r="CM268" s="73">
        <f t="shared" si="1322"/>
        <v>859848.509</v>
      </c>
      <c r="CN268" s="73">
        <f t="shared" si="1322"/>
        <v>859848.509</v>
      </c>
      <c r="CO268" s="73">
        <f t="shared" si="1322"/>
        <v>0</v>
      </c>
      <c r="CP268" s="73">
        <f t="shared" si="1322"/>
        <v>0</v>
      </c>
      <c r="CQ268" s="73">
        <f t="shared" si="1322"/>
        <v>0</v>
      </c>
      <c r="CR268" s="73">
        <f t="shared" si="1322"/>
        <v>0</v>
      </c>
      <c r="CS268" s="73">
        <f t="shared" si="1322"/>
        <v>1587412.632</v>
      </c>
      <c r="CT268" s="73">
        <f t="shared" si="1322"/>
        <v>1587412.632</v>
      </c>
      <c r="CU268" s="73">
        <f t="shared" si="1322"/>
        <v>0</v>
      </c>
      <c r="CV268" s="73">
        <f t="shared" si="1322"/>
        <v>0</v>
      </c>
      <c r="CW268" s="73">
        <f t="shared" si="1322"/>
        <v>0</v>
      </c>
      <c r="CX268" s="73">
        <f t="shared" si="1322"/>
        <v>0</v>
      </c>
      <c r="CY268" s="73">
        <f t="shared" si="1322"/>
        <v>2910256.492</v>
      </c>
      <c r="CZ268" s="73">
        <f t="shared" si="1322"/>
        <v>2910256.492</v>
      </c>
      <c r="DA268" s="73">
        <f t="shared" si="1322"/>
        <v>0</v>
      </c>
      <c r="DB268" s="73">
        <f t="shared" si="1322"/>
        <v>0</v>
      </c>
      <c r="DC268" s="73">
        <f t="shared" si="1322"/>
        <v>0</v>
      </c>
      <c r="DD268" s="73">
        <f t="shared" si="1322"/>
        <v>0</v>
      </c>
      <c r="DE268" s="73">
        <f t="shared" si="1322"/>
        <v>5357517.633</v>
      </c>
      <c r="DF268" s="73">
        <f t="shared" si="1322"/>
        <v>5357517.633</v>
      </c>
      <c r="DG268" s="73">
        <f t="shared" si="1322"/>
        <v>0</v>
      </c>
      <c r="DH268" s="73">
        <f t="shared" si="1322"/>
        <v>0</v>
      </c>
      <c r="DI268" s="73">
        <f t="shared" si="1322"/>
        <v>0</v>
      </c>
      <c r="DJ268" s="73">
        <f t="shared" si="1322"/>
        <v>0</v>
      </c>
      <c r="DK268" s="73">
        <f t="shared" si="1322"/>
        <v>9855186.757</v>
      </c>
      <c r="DL268" s="73">
        <f t="shared" si="1322"/>
        <v>9855186.757</v>
      </c>
      <c r="DM268" s="73">
        <f t="shared" si="1322"/>
        <v>0</v>
      </c>
      <c r="DN268" s="73">
        <f t="shared" si="1322"/>
        <v>0</v>
      </c>
      <c r="DO268" s="73">
        <f t="shared" si="1322"/>
        <v>0</v>
      </c>
      <c r="DP268" s="73">
        <f t="shared" si="1322"/>
        <v>0</v>
      </c>
      <c r="DQ268" s="73">
        <f t="shared" si="1322"/>
        <v>18122960.88</v>
      </c>
      <c r="DR268" s="73">
        <f t="shared" si="1322"/>
        <v>18122960.88</v>
      </c>
      <c r="DS268" s="73">
        <f t="shared" si="1322"/>
        <v>0</v>
      </c>
      <c r="DT268" s="73">
        <f t="shared" si="1322"/>
        <v>0</v>
      </c>
      <c r="DU268" s="74">
        <f t="shared" si="1322"/>
        <v>0</v>
      </c>
      <c r="DV268" s="74">
        <f t="shared" si="1322"/>
        <v>0</v>
      </c>
      <c r="DW268" s="74">
        <f t="shared" si="1322"/>
        <v>33335665.27</v>
      </c>
      <c r="DX268" s="74">
        <f t="shared" si="1322"/>
        <v>33335665.27</v>
      </c>
      <c r="DY268" s="74">
        <f t="shared" si="1322"/>
        <v>0</v>
      </c>
      <c r="DZ268" s="75" t="s">
        <v>239</v>
      </c>
      <c r="EA268" s="76"/>
    </row>
    <row r="269" ht="21.75" customHeight="1">
      <c r="A269" s="64"/>
      <c r="B269" s="70"/>
      <c r="C269" s="71"/>
      <c r="D269" s="71"/>
      <c r="E269" s="71"/>
      <c r="F269" s="81" t="s">
        <v>55</v>
      </c>
      <c r="G269" s="73"/>
      <c r="H269" s="73"/>
      <c r="I269" s="73"/>
      <c r="J269" s="73"/>
      <c r="K269" s="73"/>
      <c r="L269" s="73"/>
      <c r="M269" s="73"/>
      <c r="N269" s="73"/>
      <c r="O269" s="73"/>
      <c r="P269" s="73"/>
      <c r="Q269" s="73"/>
      <c r="R269" s="73"/>
      <c r="S269" s="73"/>
      <c r="T269" s="73"/>
      <c r="U269" s="73"/>
      <c r="V269" s="73"/>
      <c r="W269" s="73"/>
      <c r="X269" s="73"/>
      <c r="Y269" s="73"/>
      <c r="Z269" s="73"/>
      <c r="AA269" s="73"/>
      <c r="AB269" s="73"/>
      <c r="AC269" s="73"/>
      <c r="AD269" s="73"/>
      <c r="AE269" s="73">
        <f t="shared" ref="AE269:AG269" si="1323">M269+S269+Y269</f>
        <v>0</v>
      </c>
      <c r="AF269" s="73">
        <f t="shared" si="1323"/>
        <v>0</v>
      </c>
      <c r="AG269" s="73">
        <f t="shared" si="1323"/>
        <v>0</v>
      </c>
      <c r="AH269" s="73"/>
      <c r="AI269" s="73"/>
      <c r="AJ269" s="73"/>
      <c r="AK269" s="73"/>
      <c r="AL269" s="73"/>
      <c r="AM269" s="73"/>
      <c r="AN269" s="73"/>
      <c r="AO269" s="73"/>
      <c r="AP269" s="73"/>
      <c r="AQ269" s="73"/>
      <c r="AR269" s="73"/>
      <c r="AS269" s="73"/>
      <c r="AT269" s="73"/>
      <c r="AU269" s="73"/>
      <c r="AV269" s="73"/>
      <c r="AW269" s="73">
        <v>0.0</v>
      </c>
      <c r="AX269" s="73">
        <v>0.0</v>
      </c>
      <c r="AY269" s="73">
        <v>0.0</v>
      </c>
      <c r="AZ269" s="73"/>
      <c r="BA269" s="73"/>
      <c r="BB269" s="73"/>
      <c r="BC269" s="73">
        <f t="shared" ref="BC269:BE269" si="1324">AQ269+AW269</f>
        <v>0</v>
      </c>
      <c r="BD269" s="73">
        <f t="shared" si="1324"/>
        <v>0</v>
      </c>
      <c r="BE269" s="73">
        <f t="shared" si="1324"/>
        <v>0</v>
      </c>
      <c r="BF269" s="73"/>
      <c r="BG269" s="73"/>
      <c r="BH269" s="73"/>
      <c r="BI269" s="73"/>
      <c r="BJ269" s="73"/>
      <c r="BK269" s="73"/>
      <c r="BL269" s="73"/>
      <c r="BM269" s="73"/>
      <c r="BN269" s="73"/>
      <c r="BO269" s="73"/>
      <c r="BP269" s="73"/>
      <c r="BQ269" s="73"/>
      <c r="BR269" s="73"/>
      <c r="BS269" s="73"/>
      <c r="BT269" s="73"/>
      <c r="BU269" s="73"/>
      <c r="BV269" s="73"/>
      <c r="BW269" s="73"/>
      <c r="BX269" s="73"/>
      <c r="BY269" s="73"/>
      <c r="BZ269" s="73"/>
      <c r="CA269" s="73"/>
      <c r="CB269" s="73"/>
      <c r="CC269" s="73"/>
      <c r="CD269" s="73"/>
      <c r="CE269" s="73"/>
      <c r="CF269" s="73"/>
      <c r="CG269" s="73"/>
      <c r="CH269" s="73"/>
      <c r="CI269" s="73"/>
      <c r="CJ269" s="73"/>
      <c r="CK269" s="73"/>
      <c r="CL269" s="73"/>
      <c r="CM269" s="73"/>
      <c r="CN269" s="73"/>
      <c r="CO269" s="73"/>
      <c r="CP269" s="73"/>
      <c r="CQ269" s="73"/>
      <c r="CR269" s="73"/>
      <c r="CS269" s="73"/>
      <c r="CT269" s="73"/>
      <c r="CU269" s="73"/>
      <c r="CV269" s="73"/>
      <c r="CW269" s="73"/>
      <c r="CX269" s="73"/>
      <c r="CY269" s="73"/>
      <c r="CZ269" s="73"/>
      <c r="DA269" s="73"/>
      <c r="DB269" s="73"/>
      <c r="DC269" s="73"/>
      <c r="DD269" s="73"/>
      <c r="DE269" s="73"/>
      <c r="DF269" s="73"/>
      <c r="DG269" s="73"/>
      <c r="DH269" s="73"/>
      <c r="DI269" s="73"/>
      <c r="DJ269" s="73"/>
      <c r="DK269" s="73"/>
      <c r="DL269" s="73"/>
      <c r="DM269" s="73"/>
      <c r="DN269" s="73"/>
      <c r="DO269" s="73"/>
      <c r="DP269" s="73"/>
      <c r="DQ269" s="73"/>
      <c r="DR269" s="73"/>
      <c r="DS269" s="73"/>
      <c r="DT269" s="73"/>
      <c r="DU269" s="74"/>
      <c r="DV269" s="74"/>
      <c r="DW269" s="74"/>
      <c r="DX269" s="74"/>
      <c r="DY269" s="74"/>
      <c r="DZ269" s="75"/>
      <c r="EA269" s="76"/>
    </row>
    <row r="270" ht="21.75" customHeight="1">
      <c r="A270" s="58"/>
      <c r="B270" s="59"/>
      <c r="C270" s="33"/>
      <c r="D270" s="33">
        <v>4.0</v>
      </c>
      <c r="E270" s="33"/>
      <c r="F270" s="60" t="s">
        <v>240</v>
      </c>
      <c r="G270" s="29">
        <f t="shared" ref="G270:AD270" si="1325">SUM(G271:G274)</f>
        <v>1871272</v>
      </c>
      <c r="H270" s="29">
        <f t="shared" si="1325"/>
        <v>215510</v>
      </c>
      <c r="I270" s="29">
        <f t="shared" si="1325"/>
        <v>1655762</v>
      </c>
      <c r="J270" s="29">
        <f t="shared" si="1325"/>
        <v>0</v>
      </c>
      <c r="K270" s="29">
        <f t="shared" si="1325"/>
        <v>0</v>
      </c>
      <c r="L270" s="29">
        <f t="shared" si="1325"/>
        <v>0</v>
      </c>
      <c r="M270" s="29">
        <f t="shared" si="1325"/>
        <v>0</v>
      </c>
      <c r="N270" s="29">
        <f t="shared" si="1325"/>
        <v>0</v>
      </c>
      <c r="O270" s="29">
        <f t="shared" si="1325"/>
        <v>0</v>
      </c>
      <c r="P270" s="29">
        <f t="shared" si="1325"/>
        <v>0</v>
      </c>
      <c r="Q270" s="29">
        <f t="shared" si="1325"/>
        <v>0</v>
      </c>
      <c r="R270" s="29">
        <f t="shared" si="1325"/>
        <v>0</v>
      </c>
      <c r="S270" s="29">
        <f t="shared" si="1325"/>
        <v>0</v>
      </c>
      <c r="T270" s="29">
        <f t="shared" si="1325"/>
        <v>0</v>
      </c>
      <c r="U270" s="29">
        <f t="shared" si="1325"/>
        <v>0</v>
      </c>
      <c r="V270" s="29">
        <f t="shared" si="1325"/>
        <v>0</v>
      </c>
      <c r="W270" s="29">
        <f t="shared" si="1325"/>
        <v>0</v>
      </c>
      <c r="X270" s="29">
        <f t="shared" si="1325"/>
        <v>0</v>
      </c>
      <c r="Y270" s="29">
        <f t="shared" si="1325"/>
        <v>68803.16054</v>
      </c>
      <c r="Z270" s="29">
        <f t="shared" si="1325"/>
        <v>0</v>
      </c>
      <c r="AA270" s="29">
        <f t="shared" si="1325"/>
        <v>68803.16054</v>
      </c>
      <c r="AB270" s="29">
        <f t="shared" si="1325"/>
        <v>0</v>
      </c>
      <c r="AC270" s="29">
        <f t="shared" si="1325"/>
        <v>0</v>
      </c>
      <c r="AD270" s="29">
        <f t="shared" si="1325"/>
        <v>0</v>
      </c>
      <c r="AE270" s="103">
        <f t="shared" ref="AE270:AG270" si="1326">M270+S270+Y270</f>
        <v>68803.16054</v>
      </c>
      <c r="AF270" s="103">
        <f t="shared" si="1326"/>
        <v>0</v>
      </c>
      <c r="AG270" s="103">
        <f t="shared" si="1326"/>
        <v>68803.16054</v>
      </c>
      <c r="AH270" s="29">
        <f t="shared" ref="AH270:BE270" si="1327">SUM(AH271:AH274)</f>
        <v>43102</v>
      </c>
      <c r="AI270" s="29">
        <f t="shared" si="1327"/>
        <v>43102</v>
      </c>
      <c r="AJ270" s="29">
        <f t="shared" si="1327"/>
        <v>0</v>
      </c>
      <c r="AK270" s="29">
        <f t="shared" si="1327"/>
        <v>83327.5275</v>
      </c>
      <c r="AL270" s="29">
        <f t="shared" si="1327"/>
        <v>0</v>
      </c>
      <c r="AM270" s="29">
        <f t="shared" si="1327"/>
        <v>83327.5275</v>
      </c>
      <c r="AN270" s="29">
        <f t="shared" si="1327"/>
        <v>43102</v>
      </c>
      <c r="AO270" s="29">
        <f t="shared" si="1327"/>
        <v>43102</v>
      </c>
      <c r="AP270" s="29">
        <f t="shared" si="1327"/>
        <v>0</v>
      </c>
      <c r="AQ270" s="29">
        <f t="shared" si="1327"/>
        <v>152130.688</v>
      </c>
      <c r="AR270" s="29">
        <f t="shared" si="1327"/>
        <v>0</v>
      </c>
      <c r="AS270" s="29">
        <f t="shared" si="1327"/>
        <v>152130.688</v>
      </c>
      <c r="AT270" s="29">
        <f t="shared" si="1327"/>
        <v>64653</v>
      </c>
      <c r="AU270" s="29">
        <f t="shared" si="1327"/>
        <v>64653</v>
      </c>
      <c r="AV270" s="29">
        <f t="shared" si="1327"/>
        <v>0</v>
      </c>
      <c r="AW270" s="29">
        <f t="shared" si="1327"/>
        <v>24364.61545</v>
      </c>
      <c r="AX270" s="29">
        <f t="shared" si="1327"/>
        <v>0</v>
      </c>
      <c r="AY270" s="29">
        <f t="shared" si="1327"/>
        <v>24364.61545</v>
      </c>
      <c r="AZ270" s="29">
        <f t="shared" si="1327"/>
        <v>107755</v>
      </c>
      <c r="BA270" s="29">
        <f t="shared" si="1327"/>
        <v>107755</v>
      </c>
      <c r="BB270" s="29">
        <f t="shared" si="1327"/>
        <v>0</v>
      </c>
      <c r="BC270" s="29">
        <f t="shared" si="1327"/>
        <v>176495.3035</v>
      </c>
      <c r="BD270" s="29">
        <f t="shared" si="1327"/>
        <v>0</v>
      </c>
      <c r="BE270" s="29">
        <f t="shared" si="1327"/>
        <v>176495.3035</v>
      </c>
      <c r="BF270" s="29">
        <f t="shared" ref="BF270:DY270" si="1328">SUM(BF271:BF273)</f>
        <v>168416</v>
      </c>
      <c r="BG270" s="29">
        <f t="shared" si="1328"/>
        <v>19396</v>
      </c>
      <c r="BH270" s="29">
        <f t="shared" si="1328"/>
        <v>149020</v>
      </c>
      <c r="BI270" s="29">
        <f t="shared" si="1328"/>
        <v>0</v>
      </c>
      <c r="BJ270" s="29">
        <f t="shared" si="1328"/>
        <v>0</v>
      </c>
      <c r="BK270" s="29">
        <f t="shared" si="1328"/>
        <v>0</v>
      </c>
      <c r="BL270" s="29">
        <f t="shared" si="1328"/>
        <v>276171</v>
      </c>
      <c r="BM270" s="29">
        <f t="shared" si="1328"/>
        <v>127151</v>
      </c>
      <c r="BN270" s="29">
        <f t="shared" si="1328"/>
        <v>149020</v>
      </c>
      <c r="BO270" s="29">
        <f t="shared" si="1328"/>
        <v>101280.0075</v>
      </c>
      <c r="BP270" s="29">
        <f t="shared" si="1328"/>
        <v>0</v>
      </c>
      <c r="BQ270" s="29">
        <f t="shared" si="1328"/>
        <v>101280.0075</v>
      </c>
      <c r="BR270" s="29">
        <f t="shared" si="1328"/>
        <v>28070</v>
      </c>
      <c r="BS270" s="29">
        <f t="shared" si="1328"/>
        <v>3233</v>
      </c>
      <c r="BT270" s="29">
        <f t="shared" si="1328"/>
        <v>24837</v>
      </c>
      <c r="BU270" s="29">
        <f t="shared" si="1328"/>
        <v>0</v>
      </c>
      <c r="BV270" s="29">
        <f t="shared" si="1328"/>
        <v>0</v>
      </c>
      <c r="BW270" s="29">
        <f t="shared" si="1328"/>
        <v>0</v>
      </c>
      <c r="BX270" s="29">
        <f t="shared" si="1328"/>
        <v>84207</v>
      </c>
      <c r="BY270" s="29">
        <f t="shared" si="1328"/>
        <v>9698</v>
      </c>
      <c r="BZ270" s="29">
        <f t="shared" si="1328"/>
        <v>74509</v>
      </c>
      <c r="CA270" s="29">
        <f t="shared" si="1328"/>
        <v>0</v>
      </c>
      <c r="CB270" s="29">
        <f t="shared" si="1328"/>
        <v>0</v>
      </c>
      <c r="CC270" s="29">
        <f t="shared" si="1328"/>
        <v>0</v>
      </c>
      <c r="CD270" s="29">
        <f t="shared" si="1328"/>
        <v>168414</v>
      </c>
      <c r="CE270" s="29">
        <f t="shared" si="1328"/>
        <v>19396</v>
      </c>
      <c r="CF270" s="29">
        <f t="shared" si="1328"/>
        <v>149018</v>
      </c>
      <c r="CG270" s="29">
        <f t="shared" si="1328"/>
        <v>0</v>
      </c>
      <c r="CH270" s="29">
        <f t="shared" si="1328"/>
        <v>0</v>
      </c>
      <c r="CI270" s="29">
        <f t="shared" si="1328"/>
        <v>0</v>
      </c>
      <c r="CJ270" s="29">
        <f t="shared" si="1328"/>
        <v>280691</v>
      </c>
      <c r="CK270" s="29">
        <f t="shared" si="1328"/>
        <v>32327</v>
      </c>
      <c r="CL270" s="29">
        <f t="shared" si="1328"/>
        <v>248364</v>
      </c>
      <c r="CM270" s="29">
        <f t="shared" si="1328"/>
        <v>0</v>
      </c>
      <c r="CN270" s="29">
        <f t="shared" si="1328"/>
        <v>0</v>
      </c>
      <c r="CO270" s="29">
        <f t="shared" si="1328"/>
        <v>0</v>
      </c>
      <c r="CP270" s="29">
        <f t="shared" si="1328"/>
        <v>271708</v>
      </c>
      <c r="CQ270" s="29">
        <f t="shared" si="1328"/>
        <v>31292</v>
      </c>
      <c r="CR270" s="29">
        <f t="shared" si="1328"/>
        <v>240416</v>
      </c>
      <c r="CS270" s="29">
        <f t="shared" si="1328"/>
        <v>0</v>
      </c>
      <c r="CT270" s="29">
        <f t="shared" si="1328"/>
        <v>0</v>
      </c>
      <c r="CU270" s="29">
        <f t="shared" si="1328"/>
        <v>0</v>
      </c>
      <c r="CV270" s="29">
        <f t="shared" si="1328"/>
        <v>407563</v>
      </c>
      <c r="CW270" s="29">
        <f t="shared" si="1328"/>
        <v>46938</v>
      </c>
      <c r="CX270" s="29">
        <f t="shared" si="1328"/>
        <v>360625</v>
      </c>
      <c r="CY270" s="29">
        <f t="shared" si="1328"/>
        <v>0</v>
      </c>
      <c r="CZ270" s="29">
        <f t="shared" si="1328"/>
        <v>0</v>
      </c>
      <c r="DA270" s="29">
        <f t="shared" si="1328"/>
        <v>0</v>
      </c>
      <c r="DB270" s="29">
        <f t="shared" si="1328"/>
        <v>679272</v>
      </c>
      <c r="DC270" s="29">
        <f t="shared" si="1328"/>
        <v>78230</v>
      </c>
      <c r="DD270" s="29">
        <f t="shared" si="1328"/>
        <v>601042</v>
      </c>
      <c r="DE270" s="29">
        <f t="shared" si="1328"/>
        <v>0</v>
      </c>
      <c r="DF270" s="29">
        <f t="shared" si="1328"/>
        <v>0</v>
      </c>
      <c r="DG270" s="29">
        <f t="shared" si="1328"/>
        <v>0</v>
      </c>
      <c r="DH270" s="29">
        <f t="shared" si="1328"/>
        <v>1358543</v>
      </c>
      <c r="DI270" s="29">
        <f t="shared" si="1328"/>
        <v>156460</v>
      </c>
      <c r="DJ270" s="29">
        <f t="shared" si="1328"/>
        <v>1202083</v>
      </c>
      <c r="DK270" s="29">
        <f t="shared" si="1328"/>
        <v>0</v>
      </c>
      <c r="DL270" s="29">
        <f t="shared" si="1328"/>
        <v>0</v>
      </c>
      <c r="DM270" s="29">
        <f t="shared" si="1328"/>
        <v>0</v>
      </c>
      <c r="DN270" s="29">
        <f t="shared" si="1328"/>
        <v>0</v>
      </c>
      <c r="DO270" s="29">
        <f t="shared" si="1328"/>
        <v>0</v>
      </c>
      <c r="DP270" s="29">
        <f t="shared" si="1328"/>
        <v>0</v>
      </c>
      <c r="DQ270" s="29">
        <f t="shared" si="1328"/>
        <v>0</v>
      </c>
      <c r="DR270" s="29">
        <f t="shared" si="1328"/>
        <v>0</v>
      </c>
      <c r="DS270" s="29">
        <f t="shared" si="1328"/>
        <v>0</v>
      </c>
      <c r="DT270" s="29">
        <f t="shared" si="1328"/>
        <v>0</v>
      </c>
      <c r="DU270" s="29">
        <f t="shared" si="1328"/>
        <v>0</v>
      </c>
      <c r="DV270" s="29">
        <f t="shared" si="1328"/>
        <v>0</v>
      </c>
      <c r="DW270" s="29">
        <f t="shared" si="1328"/>
        <v>0</v>
      </c>
      <c r="DX270" s="29">
        <f t="shared" si="1328"/>
        <v>0</v>
      </c>
      <c r="DY270" s="29">
        <f t="shared" si="1328"/>
        <v>0</v>
      </c>
      <c r="DZ270" s="104"/>
      <c r="EA270" s="105"/>
    </row>
    <row r="271" ht="21.75" customHeight="1">
      <c r="A271" s="64"/>
      <c r="B271" s="70" t="s">
        <v>40</v>
      </c>
      <c r="C271" s="71" t="s">
        <v>241</v>
      </c>
      <c r="D271" s="71" t="s">
        <v>41</v>
      </c>
      <c r="E271" s="71" t="s">
        <v>188</v>
      </c>
      <c r="F271" s="106" t="s">
        <v>242</v>
      </c>
      <c r="G271" s="73">
        <v>1655762.0</v>
      </c>
      <c r="H271" s="73">
        <v>0.0</v>
      </c>
      <c r="I271" s="73">
        <v>1655762.0</v>
      </c>
      <c r="J271" s="73">
        <f>K271+L271</f>
        <v>0</v>
      </c>
      <c r="K271" s="73">
        <v>0.0</v>
      </c>
      <c r="L271" s="73">
        <v>0.0</v>
      </c>
      <c r="M271" s="73">
        <f>N271+O271</f>
        <v>0</v>
      </c>
      <c r="N271" s="73">
        <v>0.0</v>
      </c>
      <c r="O271" s="73">
        <v>0.0</v>
      </c>
      <c r="P271" s="73">
        <f>Q271+R271</f>
        <v>0</v>
      </c>
      <c r="Q271" s="73">
        <v>0.0</v>
      </c>
      <c r="R271" s="73">
        <v>0.0</v>
      </c>
      <c r="S271" s="73">
        <f>T271+U271</f>
        <v>0</v>
      </c>
      <c r="T271" s="73">
        <v>0.0</v>
      </c>
      <c r="U271" s="73">
        <v>0.0</v>
      </c>
      <c r="V271" s="73">
        <f>W271+X271</f>
        <v>0</v>
      </c>
      <c r="W271" s="73">
        <v>0.0</v>
      </c>
      <c r="X271" s="73">
        <v>0.0</v>
      </c>
      <c r="Y271" s="73">
        <f>Z271+AA271</f>
        <v>68803.16054</v>
      </c>
      <c r="Z271" s="73">
        <v>0.0</v>
      </c>
      <c r="AA271" s="73">
        <v>68803.16054</v>
      </c>
      <c r="AB271" s="73">
        <f t="shared" ref="AB271:AG271" si="1329">J271+P271+V271</f>
        <v>0</v>
      </c>
      <c r="AC271" s="73">
        <f t="shared" si="1329"/>
        <v>0</v>
      </c>
      <c r="AD271" s="73">
        <f t="shared" si="1329"/>
        <v>0</v>
      </c>
      <c r="AE271" s="73">
        <f t="shared" si="1329"/>
        <v>68803.16054</v>
      </c>
      <c r="AF271" s="73">
        <f t="shared" si="1329"/>
        <v>0</v>
      </c>
      <c r="AG271" s="73">
        <f t="shared" si="1329"/>
        <v>68803.16054</v>
      </c>
      <c r="AH271" s="73">
        <v>0.0</v>
      </c>
      <c r="AI271" s="73">
        <v>0.0</v>
      </c>
      <c r="AJ271" s="73">
        <v>0.0</v>
      </c>
      <c r="AK271" s="73">
        <v>83327.5275</v>
      </c>
      <c r="AL271" s="73">
        <v>0.0</v>
      </c>
      <c r="AM271" s="73">
        <v>83327.5275</v>
      </c>
      <c r="AN271" s="73">
        <f t="shared" ref="AN271:AS271" si="1330">AB271+AH271</f>
        <v>0</v>
      </c>
      <c r="AO271" s="73">
        <f t="shared" si="1330"/>
        <v>0</v>
      </c>
      <c r="AP271" s="73">
        <f t="shared" si="1330"/>
        <v>0</v>
      </c>
      <c r="AQ271" s="73">
        <f t="shared" si="1330"/>
        <v>152130.688</v>
      </c>
      <c r="AR271" s="73">
        <f t="shared" si="1330"/>
        <v>0</v>
      </c>
      <c r="AS271" s="73">
        <f t="shared" si="1330"/>
        <v>152130.688</v>
      </c>
      <c r="AT271" s="73">
        <v>0.0</v>
      </c>
      <c r="AU271" s="73">
        <v>0.0</v>
      </c>
      <c r="AV271" s="73">
        <v>0.0</v>
      </c>
      <c r="AW271" s="73">
        <f>17952.48</f>
        <v>17952.48</v>
      </c>
      <c r="AX271" s="73">
        <v>0.0</v>
      </c>
      <c r="AY271" s="73">
        <f>17952.48</f>
        <v>17952.48</v>
      </c>
      <c r="AZ271" s="73">
        <f t="shared" ref="AZ271:BE271" si="1331">AN271+AT271</f>
        <v>0</v>
      </c>
      <c r="BA271" s="73">
        <f t="shared" si="1331"/>
        <v>0</v>
      </c>
      <c r="BB271" s="73">
        <f t="shared" si="1331"/>
        <v>0</v>
      </c>
      <c r="BC271" s="73">
        <f t="shared" si="1331"/>
        <v>170083.168</v>
      </c>
      <c r="BD271" s="73">
        <f t="shared" si="1331"/>
        <v>0</v>
      </c>
      <c r="BE271" s="73">
        <f t="shared" si="1331"/>
        <v>170083.168</v>
      </c>
      <c r="BF271" s="73">
        <v>149020.0</v>
      </c>
      <c r="BG271" s="73">
        <v>0.0</v>
      </c>
      <c r="BH271" s="73">
        <v>149020.0</v>
      </c>
      <c r="BI271" s="73">
        <v>0.0</v>
      </c>
      <c r="BJ271" s="73">
        <v>0.0</v>
      </c>
      <c r="BK271" s="73">
        <v>0.0</v>
      </c>
      <c r="BL271" s="73">
        <f t="shared" ref="BL271:BQ271" si="1332">AH271+AT271+BF271</f>
        <v>149020</v>
      </c>
      <c r="BM271" s="73">
        <f t="shared" si="1332"/>
        <v>0</v>
      </c>
      <c r="BN271" s="73">
        <f t="shared" si="1332"/>
        <v>149020</v>
      </c>
      <c r="BO271" s="73">
        <f t="shared" si="1332"/>
        <v>101280.0075</v>
      </c>
      <c r="BP271" s="73">
        <f t="shared" si="1332"/>
        <v>0</v>
      </c>
      <c r="BQ271" s="73">
        <f t="shared" si="1332"/>
        <v>101280.0075</v>
      </c>
      <c r="BR271" s="73">
        <v>24837.0</v>
      </c>
      <c r="BS271" s="73">
        <v>0.0</v>
      </c>
      <c r="BT271" s="73">
        <v>24837.0</v>
      </c>
      <c r="BU271" s="73">
        <v>0.0</v>
      </c>
      <c r="BV271" s="73">
        <v>0.0</v>
      </c>
      <c r="BW271" s="73">
        <v>0.0</v>
      </c>
      <c r="BX271" s="73">
        <v>74509.0</v>
      </c>
      <c r="BY271" s="73">
        <v>0.0</v>
      </c>
      <c r="BZ271" s="73">
        <v>74509.0</v>
      </c>
      <c r="CA271" s="73">
        <v>0.0</v>
      </c>
      <c r="CB271" s="73">
        <v>0.0</v>
      </c>
      <c r="CC271" s="73">
        <v>0.0</v>
      </c>
      <c r="CD271" s="73">
        <v>149018.0</v>
      </c>
      <c r="CE271" s="73">
        <v>0.0</v>
      </c>
      <c r="CF271" s="73">
        <v>149018.0</v>
      </c>
      <c r="CG271" s="73">
        <v>0.0</v>
      </c>
      <c r="CH271" s="73">
        <v>0.0</v>
      </c>
      <c r="CI271" s="73">
        <v>0.0</v>
      </c>
      <c r="CJ271" s="73">
        <f t="shared" ref="CJ271:CO271" si="1333">BR271+BX271+CD271</f>
        <v>248364</v>
      </c>
      <c r="CK271" s="73">
        <f t="shared" si="1333"/>
        <v>0</v>
      </c>
      <c r="CL271" s="73">
        <f t="shared" si="1333"/>
        <v>248364</v>
      </c>
      <c r="CM271" s="73">
        <f t="shared" si="1333"/>
        <v>0</v>
      </c>
      <c r="CN271" s="73">
        <f t="shared" si="1333"/>
        <v>0</v>
      </c>
      <c r="CO271" s="73">
        <f t="shared" si="1333"/>
        <v>0</v>
      </c>
      <c r="CP271" s="73">
        <v>240416.0</v>
      </c>
      <c r="CQ271" s="73">
        <v>0.0</v>
      </c>
      <c r="CR271" s="73">
        <v>240416.0</v>
      </c>
      <c r="CS271" s="73">
        <v>0.0</v>
      </c>
      <c r="CT271" s="73">
        <v>0.0</v>
      </c>
      <c r="CU271" s="73">
        <v>0.0</v>
      </c>
      <c r="CV271" s="73">
        <v>360625.0</v>
      </c>
      <c r="CW271" s="73">
        <v>0.0</v>
      </c>
      <c r="CX271" s="73">
        <v>360625.0</v>
      </c>
      <c r="CY271" s="73">
        <v>0.0</v>
      </c>
      <c r="CZ271" s="73">
        <v>0.0</v>
      </c>
      <c r="DA271" s="73">
        <v>0.0</v>
      </c>
      <c r="DB271" s="73">
        <v>601042.0</v>
      </c>
      <c r="DC271" s="73">
        <v>0.0</v>
      </c>
      <c r="DD271" s="73">
        <v>601042.0</v>
      </c>
      <c r="DE271" s="73">
        <v>0.0</v>
      </c>
      <c r="DF271" s="73">
        <v>0.0</v>
      </c>
      <c r="DG271" s="73">
        <v>0.0</v>
      </c>
      <c r="DH271" s="73">
        <f t="shared" ref="DH271:DM271" si="1334">CP271+CV271+DB271</f>
        <v>1202083</v>
      </c>
      <c r="DI271" s="73">
        <f t="shared" si="1334"/>
        <v>0</v>
      </c>
      <c r="DJ271" s="73">
        <f t="shared" si="1334"/>
        <v>1202083</v>
      </c>
      <c r="DK271" s="73">
        <f t="shared" si="1334"/>
        <v>0</v>
      </c>
      <c r="DL271" s="73">
        <f t="shared" si="1334"/>
        <v>0</v>
      </c>
      <c r="DM271" s="73">
        <f t="shared" si="1334"/>
        <v>0</v>
      </c>
      <c r="DN271" s="73"/>
      <c r="DO271" s="73"/>
      <c r="DP271" s="73"/>
      <c r="DQ271" s="73"/>
      <c r="DR271" s="73"/>
      <c r="DS271" s="73"/>
      <c r="DT271" s="73"/>
      <c r="DU271" s="74"/>
      <c r="DV271" s="74"/>
      <c r="DW271" s="72"/>
      <c r="DX271" s="72"/>
      <c r="DY271" s="72"/>
      <c r="DZ271" s="72"/>
      <c r="EA271" s="82" t="s">
        <v>243</v>
      </c>
    </row>
    <row r="272" ht="21.75" customHeight="1">
      <c r="A272" s="64"/>
      <c r="B272" s="70"/>
      <c r="C272" s="71"/>
      <c r="D272" s="71"/>
      <c r="E272" s="71"/>
      <c r="F272" s="81" t="s">
        <v>55</v>
      </c>
      <c r="G272" s="73"/>
      <c r="H272" s="73"/>
      <c r="I272" s="73"/>
      <c r="J272" s="73"/>
      <c r="K272" s="73"/>
      <c r="L272" s="73"/>
      <c r="M272" s="73"/>
      <c r="N272" s="73"/>
      <c r="O272" s="73"/>
      <c r="P272" s="73"/>
      <c r="Q272" s="73"/>
      <c r="R272" s="73"/>
      <c r="S272" s="73"/>
      <c r="T272" s="73"/>
      <c r="U272" s="73"/>
      <c r="V272" s="73"/>
      <c r="W272" s="73"/>
      <c r="X272" s="73"/>
      <c r="Y272" s="73"/>
      <c r="Z272" s="73"/>
      <c r="AA272" s="73"/>
      <c r="AB272" s="73"/>
      <c r="AC272" s="73"/>
      <c r="AD272" s="73"/>
      <c r="AE272" s="73">
        <f t="shared" ref="AE272:AG272" si="1335">M272+S272+Y272</f>
        <v>0</v>
      </c>
      <c r="AF272" s="73">
        <f t="shared" si="1335"/>
        <v>0</v>
      </c>
      <c r="AG272" s="73">
        <f t="shared" si="1335"/>
        <v>0</v>
      </c>
      <c r="AH272" s="73"/>
      <c r="AI272" s="73"/>
      <c r="AJ272" s="73"/>
      <c r="AK272" s="73"/>
      <c r="AL272" s="73"/>
      <c r="AM272" s="73"/>
      <c r="AN272" s="73"/>
      <c r="AO272" s="73"/>
      <c r="AP272" s="73"/>
      <c r="AQ272" s="73"/>
      <c r="AR272" s="73"/>
      <c r="AS272" s="73"/>
      <c r="AT272" s="73"/>
      <c r="AU272" s="73"/>
      <c r="AV272" s="73"/>
      <c r="AW272" s="73">
        <f>6412.13545</f>
        <v>6412.13545</v>
      </c>
      <c r="AX272" s="73">
        <v>0.0</v>
      </c>
      <c r="AY272" s="73">
        <f>6412.13545</f>
        <v>6412.13545</v>
      </c>
      <c r="AZ272" s="73"/>
      <c r="BA272" s="73"/>
      <c r="BB272" s="73"/>
      <c r="BC272" s="73">
        <f t="shared" ref="BC272:BE272" si="1336">AQ272+AW272</f>
        <v>6412.13545</v>
      </c>
      <c r="BD272" s="73">
        <f t="shared" si="1336"/>
        <v>0</v>
      </c>
      <c r="BE272" s="73">
        <f t="shared" si="1336"/>
        <v>6412.13545</v>
      </c>
      <c r="BF272" s="73"/>
      <c r="BG272" s="73"/>
      <c r="BH272" s="73"/>
      <c r="BI272" s="73"/>
      <c r="BJ272" s="73"/>
      <c r="BK272" s="73"/>
      <c r="BL272" s="73"/>
      <c r="BM272" s="73"/>
      <c r="BN272" s="73"/>
      <c r="BO272" s="73"/>
      <c r="BP272" s="73"/>
      <c r="BQ272" s="73"/>
      <c r="BR272" s="73"/>
      <c r="BS272" s="73"/>
      <c r="BT272" s="73"/>
      <c r="BU272" s="73"/>
      <c r="BV272" s="73"/>
      <c r="BW272" s="73"/>
      <c r="BX272" s="73"/>
      <c r="BY272" s="73"/>
      <c r="BZ272" s="73"/>
      <c r="CA272" s="73"/>
      <c r="CB272" s="73"/>
      <c r="CC272" s="73"/>
      <c r="CD272" s="73"/>
      <c r="CE272" s="73"/>
      <c r="CF272" s="73"/>
      <c r="CG272" s="73"/>
      <c r="CH272" s="73"/>
      <c r="CI272" s="73"/>
      <c r="CJ272" s="73"/>
      <c r="CK272" s="73"/>
      <c r="CL272" s="73"/>
      <c r="CM272" s="73"/>
      <c r="CN272" s="73"/>
      <c r="CO272" s="73"/>
      <c r="CP272" s="73"/>
      <c r="CQ272" s="73"/>
      <c r="CR272" s="73"/>
      <c r="CS272" s="73"/>
      <c r="CT272" s="73"/>
      <c r="CU272" s="73"/>
      <c r="CV272" s="73"/>
      <c r="CW272" s="73"/>
      <c r="CX272" s="73"/>
      <c r="CY272" s="73"/>
      <c r="CZ272" s="73"/>
      <c r="DA272" s="73"/>
      <c r="DB272" s="73"/>
      <c r="DC272" s="73"/>
      <c r="DD272" s="73"/>
      <c r="DE272" s="73"/>
      <c r="DF272" s="73"/>
      <c r="DG272" s="73"/>
      <c r="DH272" s="73"/>
      <c r="DI272" s="73"/>
      <c r="DJ272" s="73"/>
      <c r="DK272" s="73"/>
      <c r="DL272" s="73"/>
      <c r="DM272" s="73"/>
      <c r="DN272" s="73"/>
      <c r="DO272" s="73"/>
      <c r="DP272" s="73"/>
      <c r="DQ272" s="73"/>
      <c r="DR272" s="73"/>
      <c r="DS272" s="73"/>
      <c r="DT272" s="73"/>
      <c r="DU272" s="74"/>
      <c r="DV272" s="74"/>
      <c r="DW272" s="72"/>
      <c r="DX272" s="72"/>
      <c r="DY272" s="72"/>
      <c r="DZ272" s="72"/>
      <c r="EA272" s="82" t="s">
        <v>244</v>
      </c>
    </row>
    <row r="273" ht="21.75" customHeight="1">
      <c r="A273" s="64"/>
      <c r="B273" s="70" t="s">
        <v>40</v>
      </c>
      <c r="C273" s="71" t="s">
        <v>245</v>
      </c>
      <c r="D273" s="71" t="s">
        <v>41</v>
      </c>
      <c r="E273" s="71"/>
      <c r="F273" s="106" t="s">
        <v>246</v>
      </c>
      <c r="G273" s="73">
        <v>215510.0</v>
      </c>
      <c r="H273" s="73">
        <v>215510.0</v>
      </c>
      <c r="I273" s="73">
        <v>0.0</v>
      </c>
      <c r="J273" s="73">
        <f>K273+L273</f>
        <v>0</v>
      </c>
      <c r="K273" s="73">
        <v>0.0</v>
      </c>
      <c r="L273" s="73">
        <v>0.0</v>
      </c>
      <c r="M273" s="73">
        <f>N273+O273</f>
        <v>0</v>
      </c>
      <c r="N273" s="73">
        <v>0.0</v>
      </c>
      <c r="O273" s="73">
        <v>0.0</v>
      </c>
      <c r="P273" s="73">
        <f>Q273+R273</f>
        <v>0</v>
      </c>
      <c r="Q273" s="73">
        <v>0.0</v>
      </c>
      <c r="R273" s="73">
        <v>0.0</v>
      </c>
      <c r="S273" s="73">
        <f>T273+U273</f>
        <v>0</v>
      </c>
      <c r="T273" s="73">
        <v>0.0</v>
      </c>
      <c r="U273" s="73">
        <v>0.0</v>
      </c>
      <c r="V273" s="73">
        <f>W273+X273</f>
        <v>0</v>
      </c>
      <c r="W273" s="73">
        <v>0.0</v>
      </c>
      <c r="X273" s="73">
        <v>0.0</v>
      </c>
      <c r="Y273" s="73">
        <v>0.0</v>
      </c>
      <c r="Z273" s="73">
        <v>0.0</v>
      </c>
      <c r="AA273" s="73">
        <v>0.0</v>
      </c>
      <c r="AB273" s="73">
        <f t="shared" ref="AB273:AG273" si="1337">J273+P273+V273</f>
        <v>0</v>
      </c>
      <c r="AC273" s="73">
        <f t="shared" si="1337"/>
        <v>0</v>
      </c>
      <c r="AD273" s="73">
        <f t="shared" si="1337"/>
        <v>0</v>
      </c>
      <c r="AE273" s="73">
        <f t="shared" si="1337"/>
        <v>0</v>
      </c>
      <c r="AF273" s="73">
        <f t="shared" si="1337"/>
        <v>0</v>
      </c>
      <c r="AG273" s="73">
        <f t="shared" si="1337"/>
        <v>0</v>
      </c>
      <c r="AH273" s="73">
        <v>43102.0</v>
      </c>
      <c r="AI273" s="73">
        <v>43102.0</v>
      </c>
      <c r="AJ273" s="73">
        <v>0.0</v>
      </c>
      <c r="AK273" s="73">
        <v>0.0</v>
      </c>
      <c r="AL273" s="73">
        <v>0.0</v>
      </c>
      <c r="AM273" s="73">
        <v>0.0</v>
      </c>
      <c r="AN273" s="73">
        <f t="shared" ref="AN273:AS273" si="1338">AB273+AH273</f>
        <v>43102</v>
      </c>
      <c r="AO273" s="73">
        <f t="shared" si="1338"/>
        <v>43102</v>
      </c>
      <c r="AP273" s="73">
        <f t="shared" si="1338"/>
        <v>0</v>
      </c>
      <c r="AQ273" s="73">
        <f t="shared" si="1338"/>
        <v>0</v>
      </c>
      <c r="AR273" s="73">
        <f t="shared" si="1338"/>
        <v>0</v>
      </c>
      <c r="AS273" s="73">
        <f t="shared" si="1338"/>
        <v>0</v>
      </c>
      <c r="AT273" s="73">
        <v>64653.0</v>
      </c>
      <c r="AU273" s="73">
        <v>64653.0</v>
      </c>
      <c r="AV273" s="73">
        <v>0.0</v>
      </c>
      <c r="AW273" s="73">
        <v>0.0</v>
      </c>
      <c r="AX273" s="73">
        <v>0.0</v>
      </c>
      <c r="AY273" s="73">
        <v>0.0</v>
      </c>
      <c r="AZ273" s="73">
        <f t="shared" ref="AZ273:BE273" si="1339">AN273+AT273</f>
        <v>107755</v>
      </c>
      <c r="BA273" s="73">
        <f t="shared" si="1339"/>
        <v>107755</v>
      </c>
      <c r="BB273" s="73">
        <f t="shared" si="1339"/>
        <v>0</v>
      </c>
      <c r="BC273" s="73">
        <f t="shared" si="1339"/>
        <v>0</v>
      </c>
      <c r="BD273" s="73">
        <f t="shared" si="1339"/>
        <v>0</v>
      </c>
      <c r="BE273" s="73">
        <f t="shared" si="1339"/>
        <v>0</v>
      </c>
      <c r="BF273" s="73">
        <v>19396.0</v>
      </c>
      <c r="BG273" s="73">
        <v>19396.0</v>
      </c>
      <c r="BH273" s="73">
        <v>0.0</v>
      </c>
      <c r="BI273" s="73">
        <v>0.0</v>
      </c>
      <c r="BJ273" s="73">
        <v>0.0</v>
      </c>
      <c r="BK273" s="73">
        <v>0.0</v>
      </c>
      <c r="BL273" s="73">
        <f t="shared" ref="BL273:BQ273" si="1340">AH273+AT273+BF273</f>
        <v>127151</v>
      </c>
      <c r="BM273" s="73">
        <f t="shared" si="1340"/>
        <v>127151</v>
      </c>
      <c r="BN273" s="73">
        <f t="shared" si="1340"/>
        <v>0</v>
      </c>
      <c r="BO273" s="73">
        <f t="shared" si="1340"/>
        <v>0</v>
      </c>
      <c r="BP273" s="73">
        <f t="shared" si="1340"/>
        <v>0</v>
      </c>
      <c r="BQ273" s="73">
        <f t="shared" si="1340"/>
        <v>0</v>
      </c>
      <c r="BR273" s="73">
        <v>3233.0</v>
      </c>
      <c r="BS273" s="73">
        <v>3233.0</v>
      </c>
      <c r="BT273" s="73">
        <v>0.0</v>
      </c>
      <c r="BU273" s="73">
        <v>0.0</v>
      </c>
      <c r="BV273" s="73">
        <v>0.0</v>
      </c>
      <c r="BW273" s="73">
        <v>0.0</v>
      </c>
      <c r="BX273" s="73">
        <v>9698.0</v>
      </c>
      <c r="BY273" s="73">
        <v>9698.0</v>
      </c>
      <c r="BZ273" s="73">
        <v>0.0</v>
      </c>
      <c r="CA273" s="73">
        <v>0.0</v>
      </c>
      <c r="CB273" s="73">
        <v>0.0</v>
      </c>
      <c r="CC273" s="73">
        <v>0.0</v>
      </c>
      <c r="CD273" s="73">
        <v>19396.0</v>
      </c>
      <c r="CE273" s="73">
        <v>19396.0</v>
      </c>
      <c r="CF273" s="73">
        <v>0.0</v>
      </c>
      <c r="CG273" s="73">
        <v>0.0</v>
      </c>
      <c r="CH273" s="73">
        <v>0.0</v>
      </c>
      <c r="CI273" s="73">
        <v>0.0</v>
      </c>
      <c r="CJ273" s="73">
        <f t="shared" ref="CJ273:CO273" si="1341">BR273+BX273+CD273</f>
        <v>32327</v>
      </c>
      <c r="CK273" s="73">
        <f t="shared" si="1341"/>
        <v>32327</v>
      </c>
      <c r="CL273" s="73">
        <f t="shared" si="1341"/>
        <v>0</v>
      </c>
      <c r="CM273" s="73">
        <f t="shared" si="1341"/>
        <v>0</v>
      </c>
      <c r="CN273" s="73">
        <f t="shared" si="1341"/>
        <v>0</v>
      </c>
      <c r="CO273" s="73">
        <f t="shared" si="1341"/>
        <v>0</v>
      </c>
      <c r="CP273" s="73">
        <v>31292.0</v>
      </c>
      <c r="CQ273" s="73">
        <v>31292.0</v>
      </c>
      <c r="CR273" s="73">
        <v>0.0</v>
      </c>
      <c r="CS273" s="73">
        <v>0.0</v>
      </c>
      <c r="CT273" s="73">
        <v>0.0</v>
      </c>
      <c r="CU273" s="73">
        <v>0.0</v>
      </c>
      <c r="CV273" s="73">
        <v>46938.0</v>
      </c>
      <c r="CW273" s="73">
        <v>46938.0</v>
      </c>
      <c r="CX273" s="73">
        <v>0.0</v>
      </c>
      <c r="CY273" s="73">
        <v>0.0</v>
      </c>
      <c r="CZ273" s="73">
        <v>0.0</v>
      </c>
      <c r="DA273" s="73">
        <v>0.0</v>
      </c>
      <c r="DB273" s="73">
        <v>78230.0</v>
      </c>
      <c r="DC273" s="73">
        <v>78230.0</v>
      </c>
      <c r="DD273" s="73">
        <v>0.0</v>
      </c>
      <c r="DE273" s="73">
        <v>0.0</v>
      </c>
      <c r="DF273" s="73">
        <v>0.0</v>
      </c>
      <c r="DG273" s="73">
        <v>0.0</v>
      </c>
      <c r="DH273" s="73">
        <f t="shared" ref="DH273:DM273" si="1342">CP273+CV273+DB273</f>
        <v>156460</v>
      </c>
      <c r="DI273" s="73">
        <f t="shared" si="1342"/>
        <v>156460</v>
      </c>
      <c r="DJ273" s="73">
        <f t="shared" si="1342"/>
        <v>0</v>
      </c>
      <c r="DK273" s="73">
        <f t="shared" si="1342"/>
        <v>0</v>
      </c>
      <c r="DL273" s="73">
        <f t="shared" si="1342"/>
        <v>0</v>
      </c>
      <c r="DM273" s="73">
        <f t="shared" si="1342"/>
        <v>0</v>
      </c>
      <c r="DN273" s="73"/>
      <c r="DO273" s="73"/>
      <c r="DP273" s="73"/>
      <c r="DQ273" s="73"/>
      <c r="DR273" s="73"/>
      <c r="DS273" s="73"/>
      <c r="DT273" s="73"/>
      <c r="DU273" s="74"/>
      <c r="DV273" s="74"/>
      <c r="DW273" s="72"/>
      <c r="DX273" s="72"/>
      <c r="DY273" s="72"/>
      <c r="DZ273" s="113"/>
      <c r="EA273" s="114"/>
    </row>
    <row r="274" ht="21.75" customHeight="1">
      <c r="A274" s="64"/>
      <c r="B274" s="70"/>
      <c r="C274" s="71"/>
      <c r="D274" s="71"/>
      <c r="E274" s="71"/>
      <c r="F274" s="81" t="s">
        <v>55</v>
      </c>
      <c r="G274" s="73"/>
      <c r="H274" s="73"/>
      <c r="I274" s="73"/>
      <c r="J274" s="73"/>
      <c r="K274" s="73"/>
      <c r="L274" s="73"/>
      <c r="M274" s="73"/>
      <c r="N274" s="73"/>
      <c r="O274" s="73"/>
      <c r="P274" s="73"/>
      <c r="Q274" s="73"/>
      <c r="R274" s="73"/>
      <c r="S274" s="73"/>
      <c r="T274" s="73"/>
      <c r="U274" s="73"/>
      <c r="V274" s="73"/>
      <c r="W274" s="73"/>
      <c r="X274" s="73"/>
      <c r="Y274" s="73"/>
      <c r="Z274" s="73"/>
      <c r="AA274" s="73"/>
      <c r="AB274" s="73"/>
      <c r="AC274" s="73"/>
      <c r="AD274" s="73"/>
      <c r="AE274" s="73">
        <f t="shared" ref="AE274:AG274" si="1343">M274+S274+Y274</f>
        <v>0</v>
      </c>
      <c r="AF274" s="73">
        <f t="shared" si="1343"/>
        <v>0</v>
      </c>
      <c r="AG274" s="73">
        <f t="shared" si="1343"/>
        <v>0</v>
      </c>
      <c r="AH274" s="73"/>
      <c r="AI274" s="73"/>
      <c r="AJ274" s="73"/>
      <c r="AK274" s="73"/>
      <c r="AL274" s="73"/>
      <c r="AM274" s="73"/>
      <c r="AN274" s="73"/>
      <c r="AO274" s="73"/>
      <c r="AP274" s="73"/>
      <c r="AQ274" s="73"/>
      <c r="AR274" s="73"/>
      <c r="AS274" s="73"/>
      <c r="AT274" s="73"/>
      <c r="AU274" s="73"/>
      <c r="AV274" s="73"/>
      <c r="AW274" s="73">
        <v>0.0</v>
      </c>
      <c r="AX274" s="73">
        <v>0.0</v>
      </c>
      <c r="AY274" s="73">
        <v>0.0</v>
      </c>
      <c r="AZ274" s="73"/>
      <c r="BA274" s="73"/>
      <c r="BB274" s="73"/>
      <c r="BC274" s="73">
        <f t="shared" ref="BC274:BE274" si="1344">AQ274+AW274</f>
        <v>0</v>
      </c>
      <c r="BD274" s="73">
        <f t="shared" si="1344"/>
        <v>0</v>
      </c>
      <c r="BE274" s="73">
        <f t="shared" si="1344"/>
        <v>0</v>
      </c>
      <c r="BF274" s="73"/>
      <c r="BG274" s="73"/>
      <c r="BH274" s="73"/>
      <c r="BI274" s="73"/>
      <c r="BJ274" s="73"/>
      <c r="BK274" s="73"/>
      <c r="BL274" s="73"/>
      <c r="BM274" s="73"/>
      <c r="BN274" s="73"/>
      <c r="BO274" s="73"/>
      <c r="BP274" s="73"/>
      <c r="BQ274" s="73"/>
      <c r="BR274" s="73"/>
      <c r="BS274" s="73"/>
      <c r="BT274" s="73"/>
      <c r="BU274" s="73"/>
      <c r="BV274" s="73"/>
      <c r="BW274" s="73"/>
      <c r="BX274" s="73"/>
      <c r="BY274" s="73"/>
      <c r="BZ274" s="73"/>
      <c r="CA274" s="73"/>
      <c r="CB274" s="73"/>
      <c r="CC274" s="73"/>
      <c r="CD274" s="73"/>
      <c r="CE274" s="73"/>
      <c r="CF274" s="73"/>
      <c r="CG274" s="73"/>
      <c r="CH274" s="73"/>
      <c r="CI274" s="73"/>
      <c r="CJ274" s="73"/>
      <c r="CK274" s="73"/>
      <c r="CL274" s="73"/>
      <c r="CM274" s="73"/>
      <c r="CN274" s="73"/>
      <c r="CO274" s="73"/>
      <c r="CP274" s="73"/>
      <c r="CQ274" s="73"/>
      <c r="CR274" s="73"/>
      <c r="CS274" s="73"/>
      <c r="CT274" s="73"/>
      <c r="CU274" s="73"/>
      <c r="CV274" s="73"/>
      <c r="CW274" s="73"/>
      <c r="CX274" s="73"/>
      <c r="CY274" s="73"/>
      <c r="CZ274" s="73"/>
      <c r="DA274" s="73"/>
      <c r="DB274" s="73"/>
      <c r="DC274" s="73"/>
      <c r="DD274" s="73"/>
      <c r="DE274" s="73"/>
      <c r="DF274" s="73"/>
      <c r="DG274" s="73"/>
      <c r="DH274" s="73"/>
      <c r="DI274" s="73"/>
      <c r="DJ274" s="73"/>
      <c r="DK274" s="73"/>
      <c r="DL274" s="73"/>
      <c r="DM274" s="73"/>
      <c r="DN274" s="73"/>
      <c r="DO274" s="73"/>
      <c r="DP274" s="73"/>
      <c r="DQ274" s="73"/>
      <c r="DR274" s="73"/>
      <c r="DS274" s="73"/>
      <c r="DT274" s="73"/>
      <c r="DU274" s="74"/>
      <c r="DV274" s="74"/>
      <c r="DW274" s="72"/>
      <c r="DX274" s="72"/>
      <c r="DY274" s="72"/>
      <c r="DZ274" s="113"/>
      <c r="EA274" s="114"/>
    </row>
    <row r="275" ht="21.75" customHeight="1">
      <c r="A275" s="58"/>
      <c r="B275" s="59"/>
      <c r="C275" s="33"/>
      <c r="D275" s="33">
        <v>6.0</v>
      </c>
      <c r="E275" s="33"/>
      <c r="F275" s="60" t="s">
        <v>247</v>
      </c>
      <c r="G275" s="29">
        <f t="shared" ref="G275:AD275" si="1345">SUM(G276:G277)</f>
        <v>530211</v>
      </c>
      <c r="H275" s="29">
        <f t="shared" si="1345"/>
        <v>530211</v>
      </c>
      <c r="I275" s="29">
        <f t="shared" si="1345"/>
        <v>0</v>
      </c>
      <c r="J275" s="29">
        <f t="shared" si="1345"/>
        <v>0</v>
      </c>
      <c r="K275" s="29">
        <f t="shared" si="1345"/>
        <v>0</v>
      </c>
      <c r="L275" s="29">
        <f t="shared" si="1345"/>
        <v>0</v>
      </c>
      <c r="M275" s="29">
        <f t="shared" si="1345"/>
        <v>0</v>
      </c>
      <c r="N275" s="29">
        <f t="shared" si="1345"/>
        <v>0</v>
      </c>
      <c r="O275" s="29">
        <f t="shared" si="1345"/>
        <v>0</v>
      </c>
      <c r="P275" s="29">
        <f t="shared" si="1345"/>
        <v>0</v>
      </c>
      <c r="Q275" s="29">
        <f t="shared" si="1345"/>
        <v>0</v>
      </c>
      <c r="R275" s="29">
        <f t="shared" si="1345"/>
        <v>0</v>
      </c>
      <c r="S275" s="29">
        <f t="shared" si="1345"/>
        <v>64124.251</v>
      </c>
      <c r="T275" s="29">
        <f t="shared" si="1345"/>
        <v>64124.251</v>
      </c>
      <c r="U275" s="29">
        <f t="shared" si="1345"/>
        <v>0</v>
      </c>
      <c r="V275" s="29">
        <f t="shared" si="1345"/>
        <v>0</v>
      </c>
      <c r="W275" s="29">
        <f t="shared" si="1345"/>
        <v>0</v>
      </c>
      <c r="X275" s="29">
        <f t="shared" si="1345"/>
        <v>0</v>
      </c>
      <c r="Y275" s="29">
        <f t="shared" si="1345"/>
        <v>2997.204</v>
      </c>
      <c r="Z275" s="29">
        <f t="shared" si="1345"/>
        <v>2997.204</v>
      </c>
      <c r="AA275" s="29">
        <f t="shared" si="1345"/>
        <v>0</v>
      </c>
      <c r="AB275" s="29">
        <f t="shared" si="1345"/>
        <v>0</v>
      </c>
      <c r="AC275" s="29">
        <f t="shared" si="1345"/>
        <v>0</v>
      </c>
      <c r="AD275" s="29">
        <f t="shared" si="1345"/>
        <v>0</v>
      </c>
      <c r="AE275" s="103">
        <f t="shared" ref="AE275:AG275" si="1346">M275+S275+Y275</f>
        <v>67121.455</v>
      </c>
      <c r="AF275" s="103">
        <f t="shared" si="1346"/>
        <v>67121.455</v>
      </c>
      <c r="AG275" s="103">
        <f t="shared" si="1346"/>
        <v>0</v>
      </c>
      <c r="AH275" s="29">
        <f t="shared" ref="AH275:BE275" si="1347">SUM(AH276:AH277)</f>
        <v>0</v>
      </c>
      <c r="AI275" s="29">
        <f t="shared" si="1347"/>
        <v>0</v>
      </c>
      <c r="AJ275" s="29">
        <f t="shared" si="1347"/>
        <v>0</v>
      </c>
      <c r="AK275" s="29">
        <f t="shared" si="1347"/>
        <v>0</v>
      </c>
      <c r="AL275" s="29">
        <f t="shared" si="1347"/>
        <v>0</v>
      </c>
      <c r="AM275" s="29">
        <f t="shared" si="1347"/>
        <v>0</v>
      </c>
      <c r="AN275" s="29">
        <f t="shared" si="1347"/>
        <v>0</v>
      </c>
      <c r="AO275" s="29">
        <f t="shared" si="1347"/>
        <v>0</v>
      </c>
      <c r="AP275" s="29">
        <f t="shared" si="1347"/>
        <v>0</v>
      </c>
      <c r="AQ275" s="29">
        <f t="shared" si="1347"/>
        <v>67121.455</v>
      </c>
      <c r="AR275" s="29">
        <f t="shared" si="1347"/>
        <v>67121.455</v>
      </c>
      <c r="AS275" s="29">
        <f t="shared" si="1347"/>
        <v>0</v>
      </c>
      <c r="AT275" s="29">
        <f t="shared" si="1347"/>
        <v>0</v>
      </c>
      <c r="AU275" s="29">
        <f t="shared" si="1347"/>
        <v>0</v>
      </c>
      <c r="AV275" s="29">
        <f t="shared" si="1347"/>
        <v>0</v>
      </c>
      <c r="AW275" s="29">
        <f t="shared" si="1347"/>
        <v>180084.2288</v>
      </c>
      <c r="AX275" s="29">
        <f t="shared" si="1347"/>
        <v>180084.2288</v>
      </c>
      <c r="AY275" s="29">
        <f t="shared" si="1347"/>
        <v>0</v>
      </c>
      <c r="AZ275" s="29">
        <f t="shared" si="1347"/>
        <v>0</v>
      </c>
      <c r="BA275" s="29">
        <f t="shared" si="1347"/>
        <v>0</v>
      </c>
      <c r="BB275" s="29">
        <f t="shared" si="1347"/>
        <v>0</v>
      </c>
      <c r="BC275" s="29">
        <f t="shared" si="1347"/>
        <v>247205.6838</v>
      </c>
      <c r="BD275" s="29">
        <f t="shared" si="1347"/>
        <v>247205.6838</v>
      </c>
      <c r="BE275" s="29">
        <f t="shared" si="1347"/>
        <v>0</v>
      </c>
      <c r="BF275" s="29">
        <f t="shared" ref="BF275:DY275" si="1348">BF276</f>
        <v>47719</v>
      </c>
      <c r="BG275" s="29">
        <f t="shared" si="1348"/>
        <v>47719</v>
      </c>
      <c r="BH275" s="29">
        <f t="shared" si="1348"/>
        <v>0</v>
      </c>
      <c r="BI275" s="29">
        <f t="shared" si="1348"/>
        <v>0</v>
      </c>
      <c r="BJ275" s="29">
        <f t="shared" si="1348"/>
        <v>0</v>
      </c>
      <c r="BK275" s="29">
        <f t="shared" si="1348"/>
        <v>0</v>
      </c>
      <c r="BL275" s="29">
        <f t="shared" si="1348"/>
        <v>47719</v>
      </c>
      <c r="BM275" s="29">
        <f t="shared" si="1348"/>
        <v>47719</v>
      </c>
      <c r="BN275" s="29">
        <f t="shared" si="1348"/>
        <v>0</v>
      </c>
      <c r="BO275" s="29">
        <f t="shared" si="1348"/>
        <v>176859.0912</v>
      </c>
      <c r="BP275" s="29">
        <f t="shared" si="1348"/>
        <v>176859.0912</v>
      </c>
      <c r="BQ275" s="29">
        <f t="shared" si="1348"/>
        <v>0</v>
      </c>
      <c r="BR275" s="29">
        <f t="shared" si="1348"/>
        <v>7953</v>
      </c>
      <c r="BS275" s="29">
        <f t="shared" si="1348"/>
        <v>7953</v>
      </c>
      <c r="BT275" s="29">
        <f t="shared" si="1348"/>
        <v>0</v>
      </c>
      <c r="BU275" s="29">
        <f t="shared" si="1348"/>
        <v>0</v>
      </c>
      <c r="BV275" s="29">
        <f t="shared" si="1348"/>
        <v>0</v>
      </c>
      <c r="BW275" s="29">
        <f t="shared" si="1348"/>
        <v>0</v>
      </c>
      <c r="BX275" s="29">
        <f t="shared" si="1348"/>
        <v>23860</v>
      </c>
      <c r="BY275" s="29">
        <f t="shared" si="1348"/>
        <v>23860</v>
      </c>
      <c r="BZ275" s="29">
        <f t="shared" si="1348"/>
        <v>0</v>
      </c>
      <c r="CA275" s="29">
        <f t="shared" si="1348"/>
        <v>0</v>
      </c>
      <c r="CB275" s="29">
        <f t="shared" si="1348"/>
        <v>0</v>
      </c>
      <c r="CC275" s="29">
        <f t="shared" si="1348"/>
        <v>0</v>
      </c>
      <c r="CD275" s="29">
        <f t="shared" si="1348"/>
        <v>47719</v>
      </c>
      <c r="CE275" s="29">
        <f t="shared" si="1348"/>
        <v>47719</v>
      </c>
      <c r="CF275" s="29">
        <f t="shared" si="1348"/>
        <v>0</v>
      </c>
      <c r="CG275" s="29">
        <f t="shared" si="1348"/>
        <v>0</v>
      </c>
      <c r="CH275" s="29">
        <f t="shared" si="1348"/>
        <v>0</v>
      </c>
      <c r="CI275" s="29">
        <f t="shared" si="1348"/>
        <v>0</v>
      </c>
      <c r="CJ275" s="29">
        <f t="shared" si="1348"/>
        <v>79532</v>
      </c>
      <c r="CK275" s="29">
        <f t="shared" si="1348"/>
        <v>79532</v>
      </c>
      <c r="CL275" s="29">
        <f t="shared" si="1348"/>
        <v>0</v>
      </c>
      <c r="CM275" s="29">
        <f t="shared" si="1348"/>
        <v>0</v>
      </c>
      <c r="CN275" s="29">
        <f t="shared" si="1348"/>
        <v>0</v>
      </c>
      <c r="CO275" s="29">
        <f t="shared" si="1348"/>
        <v>0</v>
      </c>
      <c r="CP275" s="29">
        <f t="shared" si="1348"/>
        <v>76986</v>
      </c>
      <c r="CQ275" s="29">
        <f t="shared" si="1348"/>
        <v>76986</v>
      </c>
      <c r="CR275" s="29">
        <f t="shared" si="1348"/>
        <v>0</v>
      </c>
      <c r="CS275" s="29">
        <f t="shared" si="1348"/>
        <v>0</v>
      </c>
      <c r="CT275" s="29">
        <f t="shared" si="1348"/>
        <v>0</v>
      </c>
      <c r="CU275" s="29">
        <f t="shared" si="1348"/>
        <v>0</v>
      </c>
      <c r="CV275" s="29">
        <f t="shared" si="1348"/>
        <v>115480</v>
      </c>
      <c r="CW275" s="29">
        <f t="shared" si="1348"/>
        <v>115480</v>
      </c>
      <c r="CX275" s="29">
        <f t="shared" si="1348"/>
        <v>0</v>
      </c>
      <c r="CY275" s="29">
        <f t="shared" si="1348"/>
        <v>0</v>
      </c>
      <c r="CZ275" s="29">
        <f t="shared" si="1348"/>
        <v>0</v>
      </c>
      <c r="DA275" s="29">
        <f t="shared" si="1348"/>
        <v>0</v>
      </c>
      <c r="DB275" s="29">
        <f t="shared" si="1348"/>
        <v>192467</v>
      </c>
      <c r="DC275" s="29">
        <f t="shared" si="1348"/>
        <v>192467</v>
      </c>
      <c r="DD275" s="29">
        <f t="shared" si="1348"/>
        <v>0</v>
      </c>
      <c r="DE275" s="29">
        <f t="shared" si="1348"/>
        <v>0</v>
      </c>
      <c r="DF275" s="29">
        <f t="shared" si="1348"/>
        <v>0</v>
      </c>
      <c r="DG275" s="29">
        <f t="shared" si="1348"/>
        <v>0</v>
      </c>
      <c r="DH275" s="29">
        <f t="shared" si="1348"/>
        <v>384933</v>
      </c>
      <c r="DI275" s="29">
        <f t="shared" si="1348"/>
        <v>384933</v>
      </c>
      <c r="DJ275" s="29">
        <f t="shared" si="1348"/>
        <v>0</v>
      </c>
      <c r="DK275" s="29">
        <f t="shared" si="1348"/>
        <v>0</v>
      </c>
      <c r="DL275" s="29">
        <f t="shared" si="1348"/>
        <v>0</v>
      </c>
      <c r="DM275" s="29">
        <f t="shared" si="1348"/>
        <v>0</v>
      </c>
      <c r="DN275" s="29" t="str">
        <f t="shared" si="1348"/>
        <v/>
      </c>
      <c r="DO275" s="29" t="str">
        <f t="shared" si="1348"/>
        <v/>
      </c>
      <c r="DP275" s="29" t="str">
        <f t="shared" si="1348"/>
        <v/>
      </c>
      <c r="DQ275" s="29" t="str">
        <f t="shared" si="1348"/>
        <v/>
      </c>
      <c r="DR275" s="29" t="str">
        <f t="shared" si="1348"/>
        <v/>
      </c>
      <c r="DS275" s="29" t="str">
        <f t="shared" si="1348"/>
        <v/>
      </c>
      <c r="DT275" s="29" t="str">
        <f t="shared" si="1348"/>
        <v/>
      </c>
      <c r="DU275" s="29" t="str">
        <f t="shared" si="1348"/>
        <v/>
      </c>
      <c r="DV275" s="29" t="str">
        <f t="shared" si="1348"/>
        <v/>
      </c>
      <c r="DW275" s="29" t="str">
        <f t="shared" si="1348"/>
        <v/>
      </c>
      <c r="DX275" s="29" t="str">
        <f t="shared" si="1348"/>
        <v/>
      </c>
      <c r="DY275" s="29" t="str">
        <f t="shared" si="1348"/>
        <v/>
      </c>
      <c r="DZ275" s="108"/>
      <c r="EA275" s="105"/>
    </row>
    <row r="276" ht="21.75" customHeight="1">
      <c r="A276" s="64"/>
      <c r="B276" s="70" t="s">
        <v>40</v>
      </c>
      <c r="C276" s="71" t="s">
        <v>248</v>
      </c>
      <c r="D276" s="115" t="s">
        <v>249</v>
      </c>
      <c r="E276" s="115" t="s">
        <v>102</v>
      </c>
      <c r="F276" s="72" t="s">
        <v>250</v>
      </c>
      <c r="G276" s="73">
        <v>530211.0</v>
      </c>
      <c r="H276" s="73">
        <v>530211.0</v>
      </c>
      <c r="I276" s="73">
        <v>0.0</v>
      </c>
      <c r="J276" s="73">
        <f>K276+L276</f>
        <v>0</v>
      </c>
      <c r="K276" s="73">
        <v>0.0</v>
      </c>
      <c r="L276" s="73">
        <v>0.0</v>
      </c>
      <c r="M276" s="73">
        <f>N276+O276</f>
        <v>0</v>
      </c>
      <c r="N276" s="73">
        <v>0.0</v>
      </c>
      <c r="O276" s="73">
        <v>0.0</v>
      </c>
      <c r="P276" s="73">
        <f>Q276+R276</f>
        <v>0</v>
      </c>
      <c r="Q276" s="73">
        <v>0.0</v>
      </c>
      <c r="R276" s="73">
        <v>0.0</v>
      </c>
      <c r="S276" s="73">
        <f>T276+U276</f>
        <v>64124.251</v>
      </c>
      <c r="T276" s="73">
        <v>64124.251</v>
      </c>
      <c r="U276" s="73">
        <v>0.0</v>
      </c>
      <c r="V276" s="73">
        <v>0.0</v>
      </c>
      <c r="W276" s="73">
        <v>0.0</v>
      </c>
      <c r="X276" s="73">
        <v>0.0</v>
      </c>
      <c r="Y276" s="73">
        <f>Z276+AA276</f>
        <v>2997.204</v>
      </c>
      <c r="Z276" s="73">
        <v>2997.204</v>
      </c>
      <c r="AA276" s="73">
        <v>0.0</v>
      </c>
      <c r="AB276" s="73">
        <f t="shared" ref="AB276:AG276" si="1349">J276+P276+V276</f>
        <v>0</v>
      </c>
      <c r="AC276" s="73">
        <f t="shared" si="1349"/>
        <v>0</v>
      </c>
      <c r="AD276" s="73">
        <f t="shared" si="1349"/>
        <v>0</v>
      </c>
      <c r="AE276" s="73">
        <f t="shared" si="1349"/>
        <v>67121.455</v>
      </c>
      <c r="AF276" s="73">
        <f t="shared" si="1349"/>
        <v>67121.455</v>
      </c>
      <c r="AG276" s="73">
        <f t="shared" si="1349"/>
        <v>0</v>
      </c>
      <c r="AH276" s="73">
        <v>0.0</v>
      </c>
      <c r="AI276" s="73">
        <v>0.0</v>
      </c>
      <c r="AJ276" s="73">
        <v>0.0</v>
      </c>
      <c r="AK276" s="73">
        <v>0.0</v>
      </c>
      <c r="AL276" s="73">
        <v>0.0</v>
      </c>
      <c r="AM276" s="73">
        <v>0.0</v>
      </c>
      <c r="AN276" s="73">
        <f t="shared" ref="AN276:AS276" si="1350">AB276+AH276</f>
        <v>0</v>
      </c>
      <c r="AO276" s="73">
        <f t="shared" si="1350"/>
        <v>0</v>
      </c>
      <c r="AP276" s="73">
        <f t="shared" si="1350"/>
        <v>0</v>
      </c>
      <c r="AQ276" s="73">
        <f t="shared" si="1350"/>
        <v>67121.455</v>
      </c>
      <c r="AR276" s="73">
        <f t="shared" si="1350"/>
        <v>67121.455</v>
      </c>
      <c r="AS276" s="73">
        <f t="shared" si="1350"/>
        <v>0</v>
      </c>
      <c r="AT276" s="73">
        <v>0.0</v>
      </c>
      <c r="AU276" s="73">
        <v>0.0</v>
      </c>
      <c r="AV276" s="73">
        <v>0.0</v>
      </c>
      <c r="AW276" s="73">
        <f t="shared" ref="AW276:AX276" si="1351">176859.0912</f>
        <v>176859.0912</v>
      </c>
      <c r="AX276" s="73">
        <f t="shared" si="1351"/>
        <v>176859.0912</v>
      </c>
      <c r="AY276" s="73">
        <v>0.0</v>
      </c>
      <c r="AZ276" s="73">
        <f t="shared" ref="AZ276:BE276" si="1352">AN276+AT276</f>
        <v>0</v>
      </c>
      <c r="BA276" s="73">
        <f t="shared" si="1352"/>
        <v>0</v>
      </c>
      <c r="BB276" s="73">
        <f t="shared" si="1352"/>
        <v>0</v>
      </c>
      <c r="BC276" s="73">
        <f t="shared" si="1352"/>
        <v>243980.5462</v>
      </c>
      <c r="BD276" s="73">
        <f t="shared" si="1352"/>
        <v>243980.5462</v>
      </c>
      <c r="BE276" s="73">
        <f t="shared" si="1352"/>
        <v>0</v>
      </c>
      <c r="BF276" s="73">
        <v>47719.0</v>
      </c>
      <c r="BG276" s="73">
        <v>47719.0</v>
      </c>
      <c r="BH276" s="73">
        <v>0.0</v>
      </c>
      <c r="BI276" s="73">
        <v>0.0</v>
      </c>
      <c r="BJ276" s="73">
        <v>0.0</v>
      </c>
      <c r="BK276" s="73">
        <v>0.0</v>
      </c>
      <c r="BL276" s="73">
        <f t="shared" ref="BL276:BQ276" si="1353">AH276+AT276+BF276</f>
        <v>47719</v>
      </c>
      <c r="BM276" s="73">
        <f t="shared" si="1353"/>
        <v>47719</v>
      </c>
      <c r="BN276" s="73">
        <f t="shared" si="1353"/>
        <v>0</v>
      </c>
      <c r="BO276" s="73">
        <f t="shared" si="1353"/>
        <v>176859.0912</v>
      </c>
      <c r="BP276" s="73">
        <f t="shared" si="1353"/>
        <v>176859.0912</v>
      </c>
      <c r="BQ276" s="73">
        <f t="shared" si="1353"/>
        <v>0</v>
      </c>
      <c r="BR276" s="73">
        <v>7953.0</v>
      </c>
      <c r="BS276" s="73">
        <v>7953.0</v>
      </c>
      <c r="BT276" s="73">
        <v>0.0</v>
      </c>
      <c r="BU276" s="73">
        <v>0.0</v>
      </c>
      <c r="BV276" s="73">
        <v>0.0</v>
      </c>
      <c r="BW276" s="73">
        <v>0.0</v>
      </c>
      <c r="BX276" s="73">
        <v>23860.0</v>
      </c>
      <c r="BY276" s="73">
        <v>23860.0</v>
      </c>
      <c r="BZ276" s="73">
        <v>0.0</v>
      </c>
      <c r="CA276" s="73">
        <v>0.0</v>
      </c>
      <c r="CB276" s="73">
        <v>0.0</v>
      </c>
      <c r="CC276" s="73">
        <v>0.0</v>
      </c>
      <c r="CD276" s="73">
        <v>47719.0</v>
      </c>
      <c r="CE276" s="73">
        <v>47719.0</v>
      </c>
      <c r="CF276" s="73">
        <v>0.0</v>
      </c>
      <c r="CG276" s="73">
        <v>0.0</v>
      </c>
      <c r="CH276" s="73">
        <v>0.0</v>
      </c>
      <c r="CI276" s="73">
        <v>0.0</v>
      </c>
      <c r="CJ276" s="73">
        <f t="shared" ref="CJ276:CO276" si="1354">BR276+BX276+CD276</f>
        <v>79532</v>
      </c>
      <c r="CK276" s="73">
        <f t="shared" si="1354"/>
        <v>79532</v>
      </c>
      <c r="CL276" s="73">
        <f t="shared" si="1354"/>
        <v>0</v>
      </c>
      <c r="CM276" s="73">
        <f t="shared" si="1354"/>
        <v>0</v>
      </c>
      <c r="CN276" s="73">
        <f t="shared" si="1354"/>
        <v>0</v>
      </c>
      <c r="CO276" s="73">
        <f t="shared" si="1354"/>
        <v>0</v>
      </c>
      <c r="CP276" s="73">
        <v>76986.0</v>
      </c>
      <c r="CQ276" s="73">
        <v>76986.0</v>
      </c>
      <c r="CR276" s="73">
        <v>0.0</v>
      </c>
      <c r="CS276" s="73">
        <v>0.0</v>
      </c>
      <c r="CT276" s="73">
        <v>0.0</v>
      </c>
      <c r="CU276" s="73">
        <v>0.0</v>
      </c>
      <c r="CV276" s="73">
        <v>115480.0</v>
      </c>
      <c r="CW276" s="73">
        <v>115480.0</v>
      </c>
      <c r="CX276" s="73">
        <v>0.0</v>
      </c>
      <c r="CY276" s="73">
        <v>0.0</v>
      </c>
      <c r="CZ276" s="73">
        <v>0.0</v>
      </c>
      <c r="DA276" s="73">
        <v>0.0</v>
      </c>
      <c r="DB276" s="73">
        <v>192467.0</v>
      </c>
      <c r="DC276" s="73">
        <v>192467.0</v>
      </c>
      <c r="DD276" s="73">
        <v>0.0</v>
      </c>
      <c r="DE276" s="73">
        <v>0.0</v>
      </c>
      <c r="DF276" s="73">
        <v>0.0</v>
      </c>
      <c r="DG276" s="73">
        <v>0.0</v>
      </c>
      <c r="DH276" s="73">
        <f t="shared" ref="DH276:DM276" si="1355">CP276+CV276+DB276</f>
        <v>384933</v>
      </c>
      <c r="DI276" s="73">
        <f t="shared" si="1355"/>
        <v>384933</v>
      </c>
      <c r="DJ276" s="73">
        <f t="shared" si="1355"/>
        <v>0</v>
      </c>
      <c r="DK276" s="73">
        <f t="shared" si="1355"/>
        <v>0</v>
      </c>
      <c r="DL276" s="73">
        <f t="shared" si="1355"/>
        <v>0</v>
      </c>
      <c r="DM276" s="73">
        <f t="shared" si="1355"/>
        <v>0</v>
      </c>
      <c r="DN276" s="73"/>
      <c r="DO276" s="73"/>
      <c r="DP276" s="73"/>
      <c r="DQ276" s="73"/>
      <c r="DR276" s="73"/>
      <c r="DS276" s="73"/>
      <c r="DT276" s="73"/>
      <c r="DU276" s="74"/>
      <c r="DV276" s="74"/>
      <c r="DW276" s="72"/>
      <c r="DX276" s="72"/>
      <c r="DY276" s="72"/>
      <c r="DZ276" s="75" t="s">
        <v>251</v>
      </c>
      <c r="EA276" s="82"/>
    </row>
    <row r="277" ht="21.75" customHeight="1">
      <c r="A277" s="64"/>
      <c r="B277" s="70"/>
      <c r="C277" s="71"/>
      <c r="D277" s="115"/>
      <c r="E277" s="115"/>
      <c r="F277" s="81" t="s">
        <v>55</v>
      </c>
      <c r="G277" s="73"/>
      <c r="H277" s="73"/>
      <c r="I277" s="73"/>
      <c r="J277" s="73"/>
      <c r="K277" s="73"/>
      <c r="L277" s="73"/>
      <c r="M277" s="73"/>
      <c r="N277" s="73"/>
      <c r="O277" s="73"/>
      <c r="P277" s="73"/>
      <c r="Q277" s="73"/>
      <c r="R277" s="73"/>
      <c r="S277" s="73"/>
      <c r="T277" s="73"/>
      <c r="U277" s="73"/>
      <c r="V277" s="73"/>
      <c r="W277" s="73"/>
      <c r="X277" s="73"/>
      <c r="Y277" s="73"/>
      <c r="Z277" s="73"/>
      <c r="AA277" s="73"/>
      <c r="AB277" s="73"/>
      <c r="AC277" s="73"/>
      <c r="AD277" s="73"/>
      <c r="AE277" s="73">
        <f t="shared" ref="AE277:AG277" si="1356">M277+S277+Y277</f>
        <v>0</v>
      </c>
      <c r="AF277" s="73">
        <f t="shared" si="1356"/>
        <v>0</v>
      </c>
      <c r="AG277" s="73">
        <f t="shared" si="1356"/>
        <v>0</v>
      </c>
      <c r="AH277" s="73"/>
      <c r="AI277" s="73"/>
      <c r="AJ277" s="73"/>
      <c r="AK277" s="73"/>
      <c r="AL277" s="73"/>
      <c r="AM277" s="73"/>
      <c r="AN277" s="73"/>
      <c r="AO277" s="73"/>
      <c r="AP277" s="73"/>
      <c r="AQ277" s="73"/>
      <c r="AR277" s="73"/>
      <c r="AS277" s="73"/>
      <c r="AT277" s="73"/>
      <c r="AU277" s="73"/>
      <c r="AV277" s="73"/>
      <c r="AW277" s="73">
        <f t="shared" ref="AW277:AX277" si="1357">3225.13762</f>
        <v>3225.13762</v>
      </c>
      <c r="AX277" s="73">
        <f t="shared" si="1357"/>
        <v>3225.13762</v>
      </c>
      <c r="AY277" s="73">
        <v>0.0</v>
      </c>
      <c r="AZ277" s="73"/>
      <c r="BA277" s="73"/>
      <c r="BB277" s="73"/>
      <c r="BC277" s="73">
        <f t="shared" ref="BC277:BE277" si="1358">AQ277+AW277</f>
        <v>3225.13762</v>
      </c>
      <c r="BD277" s="73">
        <f t="shared" si="1358"/>
        <v>3225.13762</v>
      </c>
      <c r="BE277" s="73">
        <f t="shared" si="1358"/>
        <v>0</v>
      </c>
      <c r="BF277" s="73"/>
      <c r="BG277" s="73"/>
      <c r="BH277" s="73"/>
      <c r="BI277" s="73"/>
      <c r="BJ277" s="73"/>
      <c r="BK277" s="73"/>
      <c r="BL277" s="73"/>
      <c r="BM277" s="73"/>
      <c r="BN277" s="73"/>
      <c r="BO277" s="73"/>
      <c r="BP277" s="73"/>
      <c r="BQ277" s="73"/>
      <c r="BR277" s="73"/>
      <c r="BS277" s="73"/>
      <c r="BT277" s="73"/>
      <c r="BU277" s="73"/>
      <c r="BV277" s="73"/>
      <c r="BW277" s="73"/>
      <c r="BX277" s="73"/>
      <c r="BY277" s="73"/>
      <c r="BZ277" s="73"/>
      <c r="CA277" s="73"/>
      <c r="CB277" s="73"/>
      <c r="CC277" s="73"/>
      <c r="CD277" s="73"/>
      <c r="CE277" s="73"/>
      <c r="CF277" s="73"/>
      <c r="CG277" s="73"/>
      <c r="CH277" s="73"/>
      <c r="CI277" s="73"/>
      <c r="CJ277" s="73"/>
      <c r="CK277" s="73"/>
      <c r="CL277" s="73"/>
      <c r="CM277" s="73"/>
      <c r="CN277" s="73"/>
      <c r="CO277" s="73"/>
      <c r="CP277" s="73"/>
      <c r="CQ277" s="73"/>
      <c r="CR277" s="73"/>
      <c r="CS277" s="73"/>
      <c r="CT277" s="73"/>
      <c r="CU277" s="73"/>
      <c r="CV277" s="73"/>
      <c r="CW277" s="73"/>
      <c r="CX277" s="73"/>
      <c r="CY277" s="73"/>
      <c r="CZ277" s="73"/>
      <c r="DA277" s="73"/>
      <c r="DB277" s="73"/>
      <c r="DC277" s="73"/>
      <c r="DD277" s="73"/>
      <c r="DE277" s="73"/>
      <c r="DF277" s="73"/>
      <c r="DG277" s="73"/>
      <c r="DH277" s="73"/>
      <c r="DI277" s="73"/>
      <c r="DJ277" s="73"/>
      <c r="DK277" s="73"/>
      <c r="DL277" s="73"/>
      <c r="DM277" s="73"/>
      <c r="DN277" s="73"/>
      <c r="DO277" s="73"/>
      <c r="DP277" s="73"/>
      <c r="DQ277" s="73"/>
      <c r="DR277" s="73"/>
      <c r="DS277" s="73"/>
      <c r="DT277" s="73"/>
      <c r="DU277" s="74"/>
      <c r="DV277" s="74"/>
      <c r="DW277" s="72"/>
      <c r="DX277" s="72"/>
      <c r="DY277" s="72"/>
      <c r="DZ277" s="75" t="s">
        <v>252</v>
      </c>
      <c r="EA277" s="82"/>
    </row>
    <row r="278" ht="21.75" customHeight="1">
      <c r="A278" s="58"/>
      <c r="B278" s="59"/>
      <c r="C278" s="33"/>
      <c r="D278" s="33">
        <v>7.0</v>
      </c>
      <c r="E278" s="33"/>
      <c r="F278" s="60" t="s">
        <v>253</v>
      </c>
      <c r="G278" s="29">
        <f t="shared" ref="G278:AD278" si="1359">SUM(G279:G286)</f>
        <v>3622482</v>
      </c>
      <c r="H278" s="29">
        <f t="shared" si="1359"/>
        <v>3431975</v>
      </c>
      <c r="I278" s="29">
        <f t="shared" si="1359"/>
        <v>190507</v>
      </c>
      <c r="J278" s="29">
        <f t="shared" si="1359"/>
        <v>0</v>
      </c>
      <c r="K278" s="29">
        <f t="shared" si="1359"/>
        <v>0</v>
      </c>
      <c r="L278" s="29">
        <f t="shared" si="1359"/>
        <v>0</v>
      </c>
      <c r="M278" s="29">
        <f t="shared" si="1359"/>
        <v>11024.64</v>
      </c>
      <c r="N278" s="29">
        <f t="shared" si="1359"/>
        <v>11024.64</v>
      </c>
      <c r="O278" s="29">
        <f t="shared" si="1359"/>
        <v>0</v>
      </c>
      <c r="P278" s="29">
        <f t="shared" si="1359"/>
        <v>0</v>
      </c>
      <c r="Q278" s="29">
        <f t="shared" si="1359"/>
        <v>0</v>
      </c>
      <c r="R278" s="29">
        <f t="shared" si="1359"/>
        <v>0</v>
      </c>
      <c r="S278" s="29">
        <f t="shared" si="1359"/>
        <v>7864.56</v>
      </c>
      <c r="T278" s="29">
        <f t="shared" si="1359"/>
        <v>7864.56</v>
      </c>
      <c r="U278" s="29">
        <f t="shared" si="1359"/>
        <v>0</v>
      </c>
      <c r="V278" s="29">
        <f t="shared" si="1359"/>
        <v>0</v>
      </c>
      <c r="W278" s="29">
        <f t="shared" si="1359"/>
        <v>0</v>
      </c>
      <c r="X278" s="29">
        <f t="shared" si="1359"/>
        <v>0</v>
      </c>
      <c r="Y278" s="29">
        <f t="shared" si="1359"/>
        <v>0</v>
      </c>
      <c r="Z278" s="29">
        <f t="shared" si="1359"/>
        <v>0</v>
      </c>
      <c r="AA278" s="29">
        <f t="shared" si="1359"/>
        <v>0</v>
      </c>
      <c r="AB278" s="29">
        <f t="shared" si="1359"/>
        <v>0</v>
      </c>
      <c r="AC278" s="29">
        <f t="shared" si="1359"/>
        <v>0</v>
      </c>
      <c r="AD278" s="29">
        <f t="shared" si="1359"/>
        <v>0</v>
      </c>
      <c r="AE278" s="103">
        <f t="shared" ref="AE278:AG278" si="1360">M278+S278+Y278</f>
        <v>18889.2</v>
      </c>
      <c r="AF278" s="103">
        <f t="shared" si="1360"/>
        <v>18889.2</v>
      </c>
      <c r="AG278" s="103">
        <f t="shared" si="1360"/>
        <v>0</v>
      </c>
      <c r="AH278" s="29">
        <f t="shared" ref="AH278:BE278" si="1361">SUM(AH279:AH286)</f>
        <v>47224</v>
      </c>
      <c r="AI278" s="29">
        <f t="shared" si="1361"/>
        <v>9122</v>
      </c>
      <c r="AJ278" s="29">
        <f t="shared" si="1361"/>
        <v>38101</v>
      </c>
      <c r="AK278" s="29">
        <f t="shared" si="1361"/>
        <v>0</v>
      </c>
      <c r="AL278" s="29">
        <f t="shared" si="1361"/>
        <v>0</v>
      </c>
      <c r="AM278" s="29">
        <f t="shared" si="1361"/>
        <v>0</v>
      </c>
      <c r="AN278" s="29">
        <f t="shared" si="1361"/>
        <v>47224</v>
      </c>
      <c r="AO278" s="29">
        <f t="shared" si="1361"/>
        <v>9122</v>
      </c>
      <c r="AP278" s="29">
        <f t="shared" si="1361"/>
        <v>38101</v>
      </c>
      <c r="AQ278" s="29">
        <f t="shared" si="1361"/>
        <v>18889.2</v>
      </c>
      <c r="AR278" s="29">
        <f t="shared" si="1361"/>
        <v>18889.2</v>
      </c>
      <c r="AS278" s="29">
        <f t="shared" si="1361"/>
        <v>0</v>
      </c>
      <c r="AT278" s="29">
        <f t="shared" si="1361"/>
        <v>70835</v>
      </c>
      <c r="AU278" s="29">
        <f t="shared" si="1361"/>
        <v>13683</v>
      </c>
      <c r="AV278" s="29">
        <f t="shared" si="1361"/>
        <v>57152</v>
      </c>
      <c r="AW278" s="29">
        <f t="shared" si="1361"/>
        <v>166766.2576</v>
      </c>
      <c r="AX278" s="29">
        <f t="shared" si="1361"/>
        <v>971.67121</v>
      </c>
      <c r="AY278" s="29">
        <f t="shared" si="1361"/>
        <v>165794.5864</v>
      </c>
      <c r="AZ278" s="29">
        <f t="shared" si="1361"/>
        <v>118059</v>
      </c>
      <c r="BA278" s="29">
        <f t="shared" si="1361"/>
        <v>22805</v>
      </c>
      <c r="BB278" s="29">
        <f t="shared" si="1361"/>
        <v>95253</v>
      </c>
      <c r="BC278" s="29">
        <f t="shared" si="1361"/>
        <v>185655.4576</v>
      </c>
      <c r="BD278" s="29">
        <f t="shared" si="1361"/>
        <v>19860.87121</v>
      </c>
      <c r="BE278" s="29">
        <f t="shared" si="1361"/>
        <v>165794.5864</v>
      </c>
      <c r="BF278" s="29">
        <f t="shared" ref="BF278:DY278" si="1362">SUM(BF279:BF285)</f>
        <v>78030</v>
      </c>
      <c r="BG278" s="29">
        <f t="shared" si="1362"/>
        <v>78030</v>
      </c>
      <c r="BH278" s="29">
        <f t="shared" si="1362"/>
        <v>0</v>
      </c>
      <c r="BI278" s="29">
        <f t="shared" si="1362"/>
        <v>0</v>
      </c>
      <c r="BJ278" s="29">
        <f t="shared" si="1362"/>
        <v>0</v>
      </c>
      <c r="BK278" s="29">
        <f t="shared" si="1362"/>
        <v>0</v>
      </c>
      <c r="BL278" s="29">
        <f t="shared" si="1362"/>
        <v>78030</v>
      </c>
      <c r="BM278" s="29">
        <f t="shared" si="1362"/>
        <v>78030</v>
      </c>
      <c r="BN278" s="29">
        <f t="shared" si="1362"/>
        <v>0</v>
      </c>
      <c r="BO278" s="29">
        <f t="shared" si="1362"/>
        <v>0</v>
      </c>
      <c r="BP278" s="29">
        <f t="shared" si="1362"/>
        <v>0</v>
      </c>
      <c r="BQ278" s="29">
        <f t="shared" si="1362"/>
        <v>0</v>
      </c>
      <c r="BR278" s="29">
        <f t="shared" si="1362"/>
        <v>13005</v>
      </c>
      <c r="BS278" s="29">
        <f t="shared" si="1362"/>
        <v>13005</v>
      </c>
      <c r="BT278" s="29">
        <f t="shared" si="1362"/>
        <v>0</v>
      </c>
      <c r="BU278" s="29">
        <f t="shared" si="1362"/>
        <v>0</v>
      </c>
      <c r="BV278" s="29">
        <f t="shared" si="1362"/>
        <v>0</v>
      </c>
      <c r="BW278" s="29">
        <f t="shared" si="1362"/>
        <v>0</v>
      </c>
      <c r="BX278" s="29">
        <f t="shared" si="1362"/>
        <v>39015</v>
      </c>
      <c r="BY278" s="29">
        <f t="shared" si="1362"/>
        <v>39015</v>
      </c>
      <c r="BZ278" s="29">
        <f t="shared" si="1362"/>
        <v>0</v>
      </c>
      <c r="CA278" s="29">
        <f t="shared" si="1362"/>
        <v>0</v>
      </c>
      <c r="CB278" s="29">
        <f t="shared" si="1362"/>
        <v>0</v>
      </c>
      <c r="CC278" s="29">
        <f t="shared" si="1362"/>
        <v>0</v>
      </c>
      <c r="CD278" s="29">
        <f t="shared" si="1362"/>
        <v>78030</v>
      </c>
      <c r="CE278" s="29">
        <f t="shared" si="1362"/>
        <v>78030</v>
      </c>
      <c r="CF278" s="29">
        <f t="shared" si="1362"/>
        <v>0</v>
      </c>
      <c r="CG278" s="29">
        <f t="shared" si="1362"/>
        <v>0</v>
      </c>
      <c r="CH278" s="29">
        <f t="shared" si="1362"/>
        <v>0</v>
      </c>
      <c r="CI278" s="29">
        <f t="shared" si="1362"/>
        <v>0</v>
      </c>
      <c r="CJ278" s="29">
        <f t="shared" si="1362"/>
        <v>130050</v>
      </c>
      <c r="CK278" s="29">
        <f t="shared" si="1362"/>
        <v>130050</v>
      </c>
      <c r="CL278" s="29">
        <f t="shared" si="1362"/>
        <v>0</v>
      </c>
      <c r="CM278" s="29">
        <f t="shared" si="1362"/>
        <v>0</v>
      </c>
      <c r="CN278" s="29">
        <f t="shared" si="1362"/>
        <v>0</v>
      </c>
      <c r="CO278" s="29">
        <f t="shared" si="1362"/>
        <v>0</v>
      </c>
      <c r="CP278" s="29">
        <f t="shared" si="1362"/>
        <v>125888</v>
      </c>
      <c r="CQ278" s="29">
        <f t="shared" si="1362"/>
        <v>125888</v>
      </c>
      <c r="CR278" s="29">
        <f t="shared" si="1362"/>
        <v>0</v>
      </c>
      <c r="CS278" s="29">
        <f t="shared" si="1362"/>
        <v>0</v>
      </c>
      <c r="CT278" s="29">
        <f t="shared" si="1362"/>
        <v>0</v>
      </c>
      <c r="CU278" s="29">
        <f t="shared" si="1362"/>
        <v>0</v>
      </c>
      <c r="CV278" s="29">
        <f t="shared" si="1362"/>
        <v>188833</v>
      </c>
      <c r="CW278" s="29">
        <f t="shared" si="1362"/>
        <v>188833</v>
      </c>
      <c r="CX278" s="29">
        <f t="shared" si="1362"/>
        <v>0</v>
      </c>
      <c r="CY278" s="29">
        <f t="shared" si="1362"/>
        <v>0</v>
      </c>
      <c r="CZ278" s="29">
        <f t="shared" si="1362"/>
        <v>0</v>
      </c>
      <c r="DA278" s="29">
        <f t="shared" si="1362"/>
        <v>0</v>
      </c>
      <c r="DB278" s="29">
        <f t="shared" si="1362"/>
        <v>314721</v>
      </c>
      <c r="DC278" s="29">
        <f t="shared" si="1362"/>
        <v>314721</v>
      </c>
      <c r="DD278" s="29">
        <f t="shared" si="1362"/>
        <v>0</v>
      </c>
      <c r="DE278" s="29">
        <f t="shared" si="1362"/>
        <v>0</v>
      </c>
      <c r="DF278" s="29">
        <f t="shared" si="1362"/>
        <v>0</v>
      </c>
      <c r="DG278" s="29">
        <f t="shared" si="1362"/>
        <v>0</v>
      </c>
      <c r="DH278" s="29">
        <f t="shared" si="1362"/>
        <v>629442</v>
      </c>
      <c r="DI278" s="29">
        <f t="shared" si="1362"/>
        <v>629442</v>
      </c>
      <c r="DJ278" s="29">
        <f t="shared" si="1362"/>
        <v>0</v>
      </c>
      <c r="DK278" s="29">
        <f t="shared" si="1362"/>
        <v>0</v>
      </c>
      <c r="DL278" s="29">
        <f t="shared" si="1362"/>
        <v>0</v>
      </c>
      <c r="DM278" s="29">
        <f t="shared" si="1362"/>
        <v>0</v>
      </c>
      <c r="DN278" s="29">
        <f t="shared" si="1362"/>
        <v>0</v>
      </c>
      <c r="DO278" s="29">
        <f t="shared" si="1362"/>
        <v>0</v>
      </c>
      <c r="DP278" s="29">
        <f t="shared" si="1362"/>
        <v>0</v>
      </c>
      <c r="DQ278" s="29">
        <f t="shared" si="1362"/>
        <v>0</v>
      </c>
      <c r="DR278" s="29">
        <f t="shared" si="1362"/>
        <v>0</v>
      </c>
      <c r="DS278" s="29">
        <f t="shared" si="1362"/>
        <v>0</v>
      </c>
      <c r="DT278" s="29">
        <f t="shared" si="1362"/>
        <v>0</v>
      </c>
      <c r="DU278" s="29">
        <f t="shared" si="1362"/>
        <v>0</v>
      </c>
      <c r="DV278" s="29">
        <f t="shared" si="1362"/>
        <v>0</v>
      </c>
      <c r="DW278" s="29">
        <f t="shared" si="1362"/>
        <v>0</v>
      </c>
      <c r="DX278" s="29">
        <f t="shared" si="1362"/>
        <v>0</v>
      </c>
      <c r="DY278" s="29">
        <f t="shared" si="1362"/>
        <v>0</v>
      </c>
      <c r="DZ278" s="104"/>
      <c r="EA278" s="105"/>
    </row>
    <row r="279" ht="21.75" customHeight="1">
      <c r="A279" s="64"/>
      <c r="B279" s="70" t="s">
        <v>40</v>
      </c>
      <c r="C279" s="71" t="s">
        <v>254</v>
      </c>
      <c r="D279" s="71" t="s">
        <v>41</v>
      </c>
      <c r="E279" s="71" t="s">
        <v>255</v>
      </c>
      <c r="F279" s="106" t="s">
        <v>256</v>
      </c>
      <c r="G279" s="73">
        <v>867000.0</v>
      </c>
      <c r="H279" s="73">
        <v>867000.0</v>
      </c>
      <c r="I279" s="73">
        <v>0.0</v>
      </c>
      <c r="J279" s="73">
        <f>K279+L279</f>
        <v>0</v>
      </c>
      <c r="K279" s="73">
        <v>0.0</v>
      </c>
      <c r="L279" s="73">
        <v>0.0</v>
      </c>
      <c r="M279" s="73">
        <f>N279+O279</f>
        <v>0</v>
      </c>
      <c r="N279" s="73">
        <v>0.0</v>
      </c>
      <c r="O279" s="73">
        <v>0.0</v>
      </c>
      <c r="P279" s="73">
        <f>Q279+R279</f>
        <v>0</v>
      </c>
      <c r="Q279" s="73">
        <v>0.0</v>
      </c>
      <c r="R279" s="73">
        <v>0.0</v>
      </c>
      <c r="S279" s="73">
        <f>T279+U279</f>
        <v>0</v>
      </c>
      <c r="T279" s="73">
        <v>0.0</v>
      </c>
      <c r="U279" s="73">
        <v>0.0</v>
      </c>
      <c r="V279" s="73">
        <f>W279+X279</f>
        <v>0</v>
      </c>
      <c r="W279" s="73">
        <v>0.0</v>
      </c>
      <c r="X279" s="73">
        <v>0.0</v>
      </c>
      <c r="Y279" s="73">
        <v>0.0</v>
      </c>
      <c r="Z279" s="73">
        <v>0.0</v>
      </c>
      <c r="AA279" s="73">
        <v>0.0</v>
      </c>
      <c r="AB279" s="73">
        <f t="shared" ref="AB279:AG279" si="1363">J279+P279+V279</f>
        <v>0</v>
      </c>
      <c r="AC279" s="73">
        <f t="shared" si="1363"/>
        <v>0</v>
      </c>
      <c r="AD279" s="73">
        <f t="shared" si="1363"/>
        <v>0</v>
      </c>
      <c r="AE279" s="73">
        <f t="shared" si="1363"/>
        <v>0</v>
      </c>
      <c r="AF279" s="73">
        <f t="shared" si="1363"/>
        <v>0</v>
      </c>
      <c r="AG279" s="73">
        <f t="shared" si="1363"/>
        <v>0</v>
      </c>
      <c r="AH279" s="73">
        <v>0.0</v>
      </c>
      <c r="AI279" s="73">
        <v>0.0</v>
      </c>
      <c r="AJ279" s="73">
        <v>0.0</v>
      </c>
      <c r="AK279" s="73">
        <v>0.0</v>
      </c>
      <c r="AL279" s="73">
        <v>0.0</v>
      </c>
      <c r="AM279" s="73">
        <v>0.0</v>
      </c>
      <c r="AN279" s="73">
        <f t="shared" ref="AN279:AS279" si="1364">AB279+AH279</f>
        <v>0</v>
      </c>
      <c r="AO279" s="73">
        <f t="shared" si="1364"/>
        <v>0</v>
      </c>
      <c r="AP279" s="73">
        <f t="shared" si="1364"/>
        <v>0</v>
      </c>
      <c r="AQ279" s="73">
        <f t="shared" si="1364"/>
        <v>0</v>
      </c>
      <c r="AR279" s="73">
        <f t="shared" si="1364"/>
        <v>0</v>
      </c>
      <c r="AS279" s="73">
        <f t="shared" si="1364"/>
        <v>0</v>
      </c>
      <c r="AT279" s="73">
        <v>0.0</v>
      </c>
      <c r="AU279" s="73">
        <v>0.0</v>
      </c>
      <c r="AV279" s="73">
        <v>0.0</v>
      </c>
      <c r="AW279" s="73">
        <v>0.0</v>
      </c>
      <c r="AX279" s="73">
        <v>0.0</v>
      </c>
      <c r="AY279" s="73">
        <v>0.0</v>
      </c>
      <c r="AZ279" s="73">
        <f t="shared" ref="AZ279:BE279" si="1365">AN279+AT279</f>
        <v>0</v>
      </c>
      <c r="BA279" s="73">
        <f t="shared" si="1365"/>
        <v>0</v>
      </c>
      <c r="BB279" s="73">
        <f t="shared" si="1365"/>
        <v>0</v>
      </c>
      <c r="BC279" s="73">
        <f t="shared" si="1365"/>
        <v>0</v>
      </c>
      <c r="BD279" s="73">
        <f t="shared" si="1365"/>
        <v>0</v>
      </c>
      <c r="BE279" s="73">
        <f t="shared" si="1365"/>
        <v>0</v>
      </c>
      <c r="BF279" s="73">
        <v>78030.0</v>
      </c>
      <c r="BG279" s="73">
        <v>78030.0</v>
      </c>
      <c r="BH279" s="73">
        <v>0.0</v>
      </c>
      <c r="BI279" s="73">
        <v>0.0</v>
      </c>
      <c r="BJ279" s="73">
        <v>0.0</v>
      </c>
      <c r="BK279" s="73">
        <v>0.0</v>
      </c>
      <c r="BL279" s="73">
        <f t="shared" ref="BL279:BQ279" si="1366">AH279+AT279+BF279</f>
        <v>78030</v>
      </c>
      <c r="BM279" s="73">
        <f t="shared" si="1366"/>
        <v>78030</v>
      </c>
      <c r="BN279" s="73">
        <f t="shared" si="1366"/>
        <v>0</v>
      </c>
      <c r="BO279" s="73">
        <f t="shared" si="1366"/>
        <v>0</v>
      </c>
      <c r="BP279" s="73">
        <f t="shared" si="1366"/>
        <v>0</v>
      </c>
      <c r="BQ279" s="73">
        <f t="shared" si="1366"/>
        <v>0</v>
      </c>
      <c r="BR279" s="73">
        <v>13005.0</v>
      </c>
      <c r="BS279" s="73">
        <v>13005.0</v>
      </c>
      <c r="BT279" s="73">
        <v>0.0</v>
      </c>
      <c r="BU279" s="73">
        <v>0.0</v>
      </c>
      <c r="BV279" s="73">
        <v>0.0</v>
      </c>
      <c r="BW279" s="73">
        <v>0.0</v>
      </c>
      <c r="BX279" s="73">
        <v>39015.0</v>
      </c>
      <c r="BY279" s="73">
        <v>39015.0</v>
      </c>
      <c r="BZ279" s="73">
        <v>0.0</v>
      </c>
      <c r="CA279" s="73">
        <v>0.0</v>
      </c>
      <c r="CB279" s="73">
        <v>0.0</v>
      </c>
      <c r="CC279" s="73">
        <v>0.0</v>
      </c>
      <c r="CD279" s="73">
        <v>78030.0</v>
      </c>
      <c r="CE279" s="73">
        <v>78030.0</v>
      </c>
      <c r="CF279" s="73">
        <v>0.0</v>
      </c>
      <c r="CG279" s="73">
        <v>0.0</v>
      </c>
      <c r="CH279" s="73">
        <v>0.0</v>
      </c>
      <c r="CI279" s="73">
        <v>0.0</v>
      </c>
      <c r="CJ279" s="73">
        <f t="shared" ref="CJ279:CO279" si="1367">BR279+BX279+CD279</f>
        <v>130050</v>
      </c>
      <c r="CK279" s="73">
        <f t="shared" si="1367"/>
        <v>130050</v>
      </c>
      <c r="CL279" s="73">
        <f t="shared" si="1367"/>
        <v>0</v>
      </c>
      <c r="CM279" s="73">
        <f t="shared" si="1367"/>
        <v>0</v>
      </c>
      <c r="CN279" s="73">
        <f t="shared" si="1367"/>
        <v>0</v>
      </c>
      <c r="CO279" s="73">
        <f t="shared" si="1367"/>
        <v>0</v>
      </c>
      <c r="CP279" s="73">
        <v>125888.0</v>
      </c>
      <c r="CQ279" s="73">
        <v>125888.0</v>
      </c>
      <c r="CR279" s="73">
        <v>0.0</v>
      </c>
      <c r="CS279" s="73">
        <v>0.0</v>
      </c>
      <c r="CT279" s="73">
        <v>0.0</v>
      </c>
      <c r="CU279" s="73">
        <v>0.0</v>
      </c>
      <c r="CV279" s="73">
        <v>188833.0</v>
      </c>
      <c r="CW279" s="73">
        <v>188833.0</v>
      </c>
      <c r="CX279" s="73">
        <v>0.0</v>
      </c>
      <c r="CY279" s="73">
        <v>0.0</v>
      </c>
      <c r="CZ279" s="73">
        <v>0.0</v>
      </c>
      <c r="DA279" s="73">
        <v>0.0</v>
      </c>
      <c r="DB279" s="73">
        <v>314721.0</v>
      </c>
      <c r="DC279" s="73">
        <v>314721.0</v>
      </c>
      <c r="DD279" s="73">
        <v>0.0</v>
      </c>
      <c r="DE279" s="73">
        <v>0.0</v>
      </c>
      <c r="DF279" s="73">
        <v>0.0</v>
      </c>
      <c r="DG279" s="73">
        <v>0.0</v>
      </c>
      <c r="DH279" s="73">
        <f t="shared" ref="DH279:DM279" si="1368">CP279+CV279+DB279</f>
        <v>629442</v>
      </c>
      <c r="DI279" s="73">
        <f t="shared" si="1368"/>
        <v>629442</v>
      </c>
      <c r="DJ279" s="73">
        <f t="shared" si="1368"/>
        <v>0</v>
      </c>
      <c r="DK279" s="73">
        <f t="shared" si="1368"/>
        <v>0</v>
      </c>
      <c r="DL279" s="73">
        <f t="shared" si="1368"/>
        <v>0</v>
      </c>
      <c r="DM279" s="73">
        <f t="shared" si="1368"/>
        <v>0</v>
      </c>
      <c r="DN279" s="73"/>
      <c r="DO279" s="73"/>
      <c r="DP279" s="73"/>
      <c r="DQ279" s="73"/>
      <c r="DR279" s="73"/>
      <c r="DS279" s="73"/>
      <c r="DT279" s="73"/>
      <c r="DU279" s="74"/>
      <c r="DV279" s="74"/>
      <c r="DW279" s="72"/>
      <c r="DX279" s="72"/>
      <c r="DY279" s="72"/>
      <c r="DZ279" s="106" t="s">
        <v>257</v>
      </c>
      <c r="EA279" s="84"/>
    </row>
    <row r="280" ht="21.75" customHeight="1">
      <c r="A280" s="64"/>
      <c r="B280" s="70"/>
      <c r="C280" s="71"/>
      <c r="D280" s="71"/>
      <c r="E280" s="71"/>
      <c r="F280" s="81" t="s">
        <v>55</v>
      </c>
      <c r="G280" s="73"/>
      <c r="H280" s="73"/>
      <c r="I280" s="73"/>
      <c r="J280" s="73"/>
      <c r="K280" s="73"/>
      <c r="L280" s="73"/>
      <c r="M280" s="73"/>
      <c r="N280" s="73"/>
      <c r="O280" s="73"/>
      <c r="P280" s="73"/>
      <c r="Q280" s="73"/>
      <c r="R280" s="73"/>
      <c r="S280" s="73"/>
      <c r="T280" s="73"/>
      <c r="U280" s="73"/>
      <c r="V280" s="73"/>
      <c r="W280" s="73"/>
      <c r="X280" s="73"/>
      <c r="Y280" s="73"/>
      <c r="Z280" s="73"/>
      <c r="AA280" s="73"/>
      <c r="AB280" s="73"/>
      <c r="AC280" s="73"/>
      <c r="AD280" s="73"/>
      <c r="AE280" s="73">
        <f t="shared" ref="AE280:AG280" si="1369">M280+S280+Y280</f>
        <v>0</v>
      </c>
      <c r="AF280" s="73">
        <f t="shared" si="1369"/>
        <v>0</v>
      </c>
      <c r="AG280" s="73">
        <f t="shared" si="1369"/>
        <v>0</v>
      </c>
      <c r="AH280" s="73"/>
      <c r="AI280" s="73"/>
      <c r="AJ280" s="73"/>
      <c r="AK280" s="73"/>
      <c r="AL280" s="73"/>
      <c r="AM280" s="73"/>
      <c r="AN280" s="73"/>
      <c r="AO280" s="73"/>
      <c r="AP280" s="73"/>
      <c r="AQ280" s="73"/>
      <c r="AR280" s="73"/>
      <c r="AS280" s="73"/>
      <c r="AT280" s="73"/>
      <c r="AU280" s="73"/>
      <c r="AV280" s="73"/>
      <c r="AW280" s="73">
        <v>971.67121</v>
      </c>
      <c r="AX280" s="73">
        <v>971.67121</v>
      </c>
      <c r="AY280" s="73">
        <v>0.0</v>
      </c>
      <c r="AZ280" s="73"/>
      <c r="BA280" s="73"/>
      <c r="BB280" s="73"/>
      <c r="BC280" s="73">
        <f t="shared" ref="BC280:BE280" si="1370">AQ280+AW280</f>
        <v>971.67121</v>
      </c>
      <c r="BD280" s="73">
        <f t="shared" si="1370"/>
        <v>971.67121</v>
      </c>
      <c r="BE280" s="73">
        <f t="shared" si="1370"/>
        <v>0</v>
      </c>
      <c r="BF280" s="73"/>
      <c r="BG280" s="73"/>
      <c r="BH280" s="73"/>
      <c r="BI280" s="73"/>
      <c r="BJ280" s="73"/>
      <c r="BK280" s="73"/>
      <c r="BL280" s="73"/>
      <c r="BM280" s="73"/>
      <c r="BN280" s="73"/>
      <c r="BO280" s="73"/>
      <c r="BP280" s="73"/>
      <c r="BQ280" s="73"/>
      <c r="BR280" s="73"/>
      <c r="BS280" s="73"/>
      <c r="BT280" s="73"/>
      <c r="BU280" s="73"/>
      <c r="BV280" s="73"/>
      <c r="BW280" s="73"/>
      <c r="BX280" s="73"/>
      <c r="BY280" s="73"/>
      <c r="BZ280" s="73"/>
      <c r="CA280" s="73"/>
      <c r="CB280" s="73"/>
      <c r="CC280" s="73"/>
      <c r="CD280" s="73"/>
      <c r="CE280" s="73"/>
      <c r="CF280" s="73"/>
      <c r="CG280" s="73"/>
      <c r="CH280" s="73"/>
      <c r="CI280" s="73"/>
      <c r="CJ280" s="73"/>
      <c r="CK280" s="73"/>
      <c r="CL280" s="73"/>
      <c r="CM280" s="73"/>
      <c r="CN280" s="73"/>
      <c r="CO280" s="73"/>
      <c r="CP280" s="73"/>
      <c r="CQ280" s="73"/>
      <c r="CR280" s="73"/>
      <c r="CS280" s="73"/>
      <c r="CT280" s="73"/>
      <c r="CU280" s="73"/>
      <c r="CV280" s="73"/>
      <c r="CW280" s="73"/>
      <c r="CX280" s="73"/>
      <c r="CY280" s="73"/>
      <c r="CZ280" s="73"/>
      <c r="DA280" s="73"/>
      <c r="DB280" s="73"/>
      <c r="DC280" s="73"/>
      <c r="DD280" s="73"/>
      <c r="DE280" s="73"/>
      <c r="DF280" s="73"/>
      <c r="DG280" s="73"/>
      <c r="DH280" s="73"/>
      <c r="DI280" s="73"/>
      <c r="DJ280" s="73"/>
      <c r="DK280" s="73"/>
      <c r="DL280" s="73"/>
      <c r="DM280" s="73"/>
      <c r="DN280" s="73"/>
      <c r="DO280" s="73"/>
      <c r="DP280" s="73"/>
      <c r="DQ280" s="73"/>
      <c r="DR280" s="73"/>
      <c r="DS280" s="73"/>
      <c r="DT280" s="73"/>
      <c r="DU280" s="74"/>
      <c r="DV280" s="74"/>
      <c r="DW280" s="72"/>
      <c r="DX280" s="72"/>
      <c r="DY280" s="72"/>
      <c r="DZ280" s="106" t="s">
        <v>258</v>
      </c>
      <c r="EA280" s="84"/>
    </row>
    <row r="281" ht="21.75" customHeight="1">
      <c r="A281" s="64"/>
      <c r="B281" s="70" t="s">
        <v>40</v>
      </c>
      <c r="C281" s="71" t="s">
        <v>259</v>
      </c>
      <c r="D281" s="71" t="s">
        <v>260</v>
      </c>
      <c r="E281" s="71" t="s">
        <v>205</v>
      </c>
      <c r="F281" s="72" t="s">
        <v>261</v>
      </c>
      <c r="G281" s="73">
        <v>236118.0</v>
      </c>
      <c r="H281" s="73">
        <v>45611.0</v>
      </c>
      <c r="I281" s="73">
        <v>190507.0</v>
      </c>
      <c r="J281" s="73">
        <f>K281+L281</f>
        <v>0</v>
      </c>
      <c r="K281" s="73">
        <v>0.0</v>
      </c>
      <c r="L281" s="73">
        <v>0.0</v>
      </c>
      <c r="M281" s="73">
        <f>N281+O281</f>
        <v>7888.32</v>
      </c>
      <c r="N281" s="73">
        <v>7888.32</v>
      </c>
      <c r="O281" s="73">
        <v>0.0</v>
      </c>
      <c r="P281" s="73">
        <f>Q281+R281</f>
        <v>0</v>
      </c>
      <c r="Q281" s="73">
        <v>0.0</v>
      </c>
      <c r="R281" s="73">
        <v>0.0</v>
      </c>
      <c r="S281" s="73">
        <f>T281+U281</f>
        <v>7864.56</v>
      </c>
      <c r="T281" s="73">
        <v>7864.56</v>
      </c>
      <c r="U281" s="73">
        <v>0.0</v>
      </c>
      <c r="V281" s="73">
        <f>W281+X281</f>
        <v>0</v>
      </c>
      <c r="W281" s="73">
        <v>0.0</v>
      </c>
      <c r="X281" s="73">
        <v>0.0</v>
      </c>
      <c r="Y281" s="73">
        <f>Z281+AA281</f>
        <v>0</v>
      </c>
      <c r="Z281" s="73">
        <v>0.0</v>
      </c>
      <c r="AA281" s="73">
        <v>0.0</v>
      </c>
      <c r="AB281" s="73">
        <f t="shared" ref="AB281:AG281" si="1371">J281+P281+V281</f>
        <v>0</v>
      </c>
      <c r="AC281" s="73">
        <f t="shared" si="1371"/>
        <v>0</v>
      </c>
      <c r="AD281" s="73">
        <f t="shared" si="1371"/>
        <v>0</v>
      </c>
      <c r="AE281" s="73">
        <f t="shared" si="1371"/>
        <v>15752.88</v>
      </c>
      <c r="AF281" s="73">
        <f t="shared" si="1371"/>
        <v>15752.88</v>
      </c>
      <c r="AG281" s="73">
        <f t="shared" si="1371"/>
        <v>0</v>
      </c>
      <c r="AH281" s="73">
        <v>47224.0</v>
      </c>
      <c r="AI281" s="73">
        <v>9122.0</v>
      </c>
      <c r="AJ281" s="73">
        <v>38101.0</v>
      </c>
      <c r="AK281" s="73">
        <v>0.0</v>
      </c>
      <c r="AL281" s="73">
        <v>0.0</v>
      </c>
      <c r="AM281" s="73">
        <v>0.0</v>
      </c>
      <c r="AN281" s="73">
        <f t="shared" ref="AN281:AS281" si="1372">AB281+AH281</f>
        <v>47224</v>
      </c>
      <c r="AO281" s="73">
        <f t="shared" si="1372"/>
        <v>9122</v>
      </c>
      <c r="AP281" s="73">
        <f t="shared" si="1372"/>
        <v>38101</v>
      </c>
      <c r="AQ281" s="73">
        <f t="shared" si="1372"/>
        <v>15752.88</v>
      </c>
      <c r="AR281" s="73">
        <f t="shared" si="1372"/>
        <v>15752.88</v>
      </c>
      <c r="AS281" s="73">
        <f t="shared" si="1372"/>
        <v>0</v>
      </c>
      <c r="AT281" s="73">
        <v>70835.0</v>
      </c>
      <c r="AU281" s="73">
        <v>13683.0</v>
      </c>
      <c r="AV281" s="73">
        <v>57152.0</v>
      </c>
      <c r="AW281" s="73">
        <f>155435.58636</f>
        <v>155435.5864</v>
      </c>
      <c r="AX281" s="73">
        <v>0.0</v>
      </c>
      <c r="AY281" s="73">
        <f>155435.58636</f>
        <v>155435.5864</v>
      </c>
      <c r="AZ281" s="73">
        <f t="shared" ref="AZ281:BE281" si="1373">AN281+AT281</f>
        <v>118059</v>
      </c>
      <c r="BA281" s="73">
        <f t="shared" si="1373"/>
        <v>22805</v>
      </c>
      <c r="BB281" s="73">
        <f t="shared" si="1373"/>
        <v>95253</v>
      </c>
      <c r="BC281" s="73">
        <f t="shared" si="1373"/>
        <v>171188.4664</v>
      </c>
      <c r="BD281" s="73">
        <f t="shared" si="1373"/>
        <v>15752.88</v>
      </c>
      <c r="BE281" s="73">
        <f t="shared" si="1373"/>
        <v>155435.5864</v>
      </c>
      <c r="BF281" s="73"/>
      <c r="BG281" s="73"/>
      <c r="BH281" s="73"/>
      <c r="BI281" s="73"/>
      <c r="BJ281" s="73"/>
      <c r="BK281" s="73"/>
      <c r="BL281" s="73"/>
      <c r="BM281" s="73"/>
      <c r="BN281" s="73"/>
      <c r="BO281" s="73"/>
      <c r="BP281" s="73"/>
      <c r="BQ281" s="73"/>
      <c r="BR281" s="73"/>
      <c r="BS281" s="73"/>
      <c r="BT281" s="73"/>
      <c r="BU281" s="73"/>
      <c r="BV281" s="73"/>
      <c r="BW281" s="73"/>
      <c r="BX281" s="73"/>
      <c r="BY281" s="73"/>
      <c r="BZ281" s="73"/>
      <c r="CA281" s="73"/>
      <c r="CB281" s="73"/>
      <c r="CC281" s="73"/>
      <c r="CD281" s="73"/>
      <c r="CE281" s="73"/>
      <c r="CF281" s="73"/>
      <c r="CG281" s="73"/>
      <c r="CH281" s="73"/>
      <c r="CI281" s="73"/>
      <c r="CJ281" s="73"/>
      <c r="CK281" s="73"/>
      <c r="CL281" s="73"/>
      <c r="CM281" s="73"/>
      <c r="CN281" s="73"/>
      <c r="CO281" s="73"/>
      <c r="CP281" s="73"/>
      <c r="CQ281" s="73"/>
      <c r="CR281" s="73"/>
      <c r="CS281" s="73"/>
      <c r="CT281" s="73"/>
      <c r="CU281" s="73"/>
      <c r="CV281" s="73"/>
      <c r="CW281" s="73"/>
      <c r="CX281" s="73"/>
      <c r="CY281" s="73"/>
      <c r="CZ281" s="73"/>
      <c r="DA281" s="73"/>
      <c r="DB281" s="73"/>
      <c r="DC281" s="73"/>
      <c r="DD281" s="73"/>
      <c r="DE281" s="73"/>
      <c r="DF281" s="73"/>
      <c r="DG281" s="73"/>
      <c r="DH281" s="73"/>
      <c r="DI281" s="73"/>
      <c r="DJ281" s="73"/>
      <c r="DK281" s="73"/>
      <c r="DL281" s="73"/>
      <c r="DM281" s="73"/>
      <c r="DN281" s="73"/>
      <c r="DO281" s="73"/>
      <c r="DP281" s="73"/>
      <c r="DQ281" s="73"/>
      <c r="DR281" s="73"/>
      <c r="DS281" s="73"/>
      <c r="DT281" s="73"/>
      <c r="DU281" s="74"/>
      <c r="DV281" s="74"/>
      <c r="DW281" s="72"/>
      <c r="DX281" s="72"/>
      <c r="DY281" s="72"/>
      <c r="DZ281" s="72" t="s">
        <v>262</v>
      </c>
      <c r="EA281" s="82" t="s">
        <v>263</v>
      </c>
    </row>
    <row r="282" ht="21.75" customHeight="1">
      <c r="A282" s="64"/>
      <c r="B282" s="70"/>
      <c r="C282" s="71"/>
      <c r="D282" s="71"/>
      <c r="E282" s="71"/>
      <c r="F282" s="81" t="s">
        <v>55</v>
      </c>
      <c r="G282" s="73"/>
      <c r="H282" s="73"/>
      <c r="I282" s="73"/>
      <c r="J282" s="73"/>
      <c r="K282" s="73"/>
      <c r="L282" s="73"/>
      <c r="M282" s="73"/>
      <c r="N282" s="73"/>
      <c r="O282" s="73"/>
      <c r="P282" s="73"/>
      <c r="Q282" s="73"/>
      <c r="R282" s="73"/>
      <c r="S282" s="73"/>
      <c r="T282" s="73"/>
      <c r="U282" s="73"/>
      <c r="V282" s="73"/>
      <c r="W282" s="73"/>
      <c r="X282" s="73"/>
      <c r="Y282" s="73"/>
      <c r="Z282" s="73"/>
      <c r="AA282" s="73"/>
      <c r="AB282" s="73"/>
      <c r="AC282" s="73"/>
      <c r="AD282" s="73"/>
      <c r="AE282" s="73">
        <f t="shared" ref="AE282:AG282" si="1374">M282+S282+Y282</f>
        <v>0</v>
      </c>
      <c r="AF282" s="73">
        <f t="shared" si="1374"/>
        <v>0</v>
      </c>
      <c r="AG282" s="73">
        <f t="shared" si="1374"/>
        <v>0</v>
      </c>
      <c r="AH282" s="73"/>
      <c r="AI282" s="73"/>
      <c r="AJ282" s="73"/>
      <c r="AK282" s="73"/>
      <c r="AL282" s="73"/>
      <c r="AM282" s="73"/>
      <c r="AN282" s="73"/>
      <c r="AO282" s="73"/>
      <c r="AP282" s="73"/>
      <c r="AQ282" s="73"/>
      <c r="AR282" s="73"/>
      <c r="AS282" s="73"/>
      <c r="AT282" s="73"/>
      <c r="AU282" s="73"/>
      <c r="AV282" s="73"/>
      <c r="AW282" s="73">
        <f>10359</f>
        <v>10359</v>
      </c>
      <c r="AX282" s="73">
        <v>0.0</v>
      </c>
      <c r="AY282" s="73">
        <f>10359</f>
        <v>10359</v>
      </c>
      <c r="AZ282" s="73"/>
      <c r="BA282" s="73"/>
      <c r="BB282" s="73"/>
      <c r="BC282" s="73">
        <f t="shared" ref="BC282:BE282" si="1375">AQ282+AW282</f>
        <v>10359</v>
      </c>
      <c r="BD282" s="73">
        <f t="shared" si="1375"/>
        <v>0</v>
      </c>
      <c r="BE282" s="73">
        <f t="shared" si="1375"/>
        <v>10359</v>
      </c>
      <c r="BF282" s="73"/>
      <c r="BG282" s="73"/>
      <c r="BH282" s="73"/>
      <c r="BI282" s="73"/>
      <c r="BJ282" s="73"/>
      <c r="BK282" s="73"/>
      <c r="BL282" s="73"/>
      <c r="BM282" s="73"/>
      <c r="BN282" s="73"/>
      <c r="BO282" s="73"/>
      <c r="BP282" s="73"/>
      <c r="BQ282" s="73"/>
      <c r="BR282" s="73"/>
      <c r="BS282" s="73"/>
      <c r="BT282" s="73"/>
      <c r="BU282" s="73"/>
      <c r="BV282" s="73"/>
      <c r="BW282" s="73"/>
      <c r="BX282" s="73"/>
      <c r="BY282" s="73"/>
      <c r="BZ282" s="73"/>
      <c r="CA282" s="73"/>
      <c r="CB282" s="73"/>
      <c r="CC282" s="73"/>
      <c r="CD282" s="73"/>
      <c r="CE282" s="73"/>
      <c r="CF282" s="73"/>
      <c r="CG282" s="73"/>
      <c r="CH282" s="73"/>
      <c r="CI282" s="73"/>
      <c r="CJ282" s="73"/>
      <c r="CK282" s="73"/>
      <c r="CL282" s="73"/>
      <c r="CM282" s="73"/>
      <c r="CN282" s="73"/>
      <c r="CO282" s="73"/>
      <c r="CP282" s="73"/>
      <c r="CQ282" s="73"/>
      <c r="CR282" s="73"/>
      <c r="CS282" s="73"/>
      <c r="CT282" s="73"/>
      <c r="CU282" s="73"/>
      <c r="CV282" s="73"/>
      <c r="CW282" s="73"/>
      <c r="CX282" s="73"/>
      <c r="CY282" s="73"/>
      <c r="CZ282" s="73"/>
      <c r="DA282" s="73"/>
      <c r="DB282" s="73"/>
      <c r="DC282" s="73"/>
      <c r="DD282" s="73"/>
      <c r="DE282" s="73"/>
      <c r="DF282" s="73"/>
      <c r="DG282" s="73"/>
      <c r="DH282" s="73"/>
      <c r="DI282" s="73"/>
      <c r="DJ282" s="73"/>
      <c r="DK282" s="73"/>
      <c r="DL282" s="73"/>
      <c r="DM282" s="73"/>
      <c r="DN282" s="73"/>
      <c r="DO282" s="73"/>
      <c r="DP282" s="73"/>
      <c r="DQ282" s="73"/>
      <c r="DR282" s="73"/>
      <c r="DS282" s="73"/>
      <c r="DT282" s="73"/>
      <c r="DU282" s="74"/>
      <c r="DV282" s="74"/>
      <c r="DW282" s="72"/>
      <c r="DX282" s="72"/>
      <c r="DY282" s="72"/>
      <c r="DZ282" s="72"/>
      <c r="EA282" s="82" t="s">
        <v>264</v>
      </c>
    </row>
    <row r="283" ht="21.75" customHeight="1">
      <c r="A283" s="64"/>
      <c r="B283" s="70" t="s">
        <v>40</v>
      </c>
      <c r="C283" s="71" t="s">
        <v>265</v>
      </c>
      <c r="D283" s="71" t="s">
        <v>41</v>
      </c>
      <c r="E283" s="71" t="s">
        <v>255</v>
      </c>
      <c r="F283" s="106" t="s">
        <v>266</v>
      </c>
      <c r="G283" s="73">
        <v>7109.0</v>
      </c>
      <c r="H283" s="73">
        <v>7109.0</v>
      </c>
      <c r="I283" s="73">
        <v>0.0</v>
      </c>
      <c r="J283" s="73">
        <f>K283+L283</f>
        <v>0</v>
      </c>
      <c r="K283" s="73">
        <v>0.0</v>
      </c>
      <c r="L283" s="73">
        <v>0.0</v>
      </c>
      <c r="M283" s="73">
        <f>N283+O283</f>
        <v>3136.32</v>
      </c>
      <c r="N283" s="73">
        <v>3136.32</v>
      </c>
      <c r="O283" s="73">
        <v>0.0</v>
      </c>
      <c r="P283" s="73">
        <f>Q283+R283</f>
        <v>0</v>
      </c>
      <c r="Q283" s="73">
        <v>0.0</v>
      </c>
      <c r="R283" s="73">
        <v>0.0</v>
      </c>
      <c r="S283" s="73">
        <f>T283+U283</f>
        <v>0</v>
      </c>
      <c r="T283" s="73">
        <v>0.0</v>
      </c>
      <c r="U283" s="73">
        <v>0.0</v>
      </c>
      <c r="V283" s="73">
        <f>W283+X283</f>
        <v>0</v>
      </c>
      <c r="W283" s="73">
        <v>0.0</v>
      </c>
      <c r="X283" s="73">
        <v>0.0</v>
      </c>
      <c r="Y283" s="73">
        <f>Z283+AA283</f>
        <v>0</v>
      </c>
      <c r="Z283" s="73">
        <v>0.0</v>
      </c>
      <c r="AA283" s="73">
        <v>0.0</v>
      </c>
      <c r="AB283" s="73">
        <f t="shared" ref="AB283:AG283" si="1376">J283+P283+V283</f>
        <v>0</v>
      </c>
      <c r="AC283" s="73">
        <f t="shared" si="1376"/>
        <v>0</v>
      </c>
      <c r="AD283" s="73">
        <f t="shared" si="1376"/>
        <v>0</v>
      </c>
      <c r="AE283" s="73">
        <f t="shared" si="1376"/>
        <v>3136.32</v>
      </c>
      <c r="AF283" s="73">
        <f t="shared" si="1376"/>
        <v>3136.32</v>
      </c>
      <c r="AG283" s="73">
        <f t="shared" si="1376"/>
        <v>0</v>
      </c>
      <c r="AH283" s="73">
        <v>0.0</v>
      </c>
      <c r="AI283" s="73">
        <v>0.0</v>
      </c>
      <c r="AJ283" s="73">
        <v>0.0</v>
      </c>
      <c r="AK283" s="73">
        <v>0.0</v>
      </c>
      <c r="AL283" s="73">
        <v>0.0</v>
      </c>
      <c r="AM283" s="73">
        <v>0.0</v>
      </c>
      <c r="AN283" s="73">
        <f t="shared" ref="AN283:AS283" si="1377">AB283+AH283</f>
        <v>0</v>
      </c>
      <c r="AO283" s="73">
        <f t="shared" si="1377"/>
        <v>0</v>
      </c>
      <c r="AP283" s="73">
        <f t="shared" si="1377"/>
        <v>0</v>
      </c>
      <c r="AQ283" s="73">
        <f t="shared" si="1377"/>
        <v>3136.32</v>
      </c>
      <c r="AR283" s="73">
        <f t="shared" si="1377"/>
        <v>3136.32</v>
      </c>
      <c r="AS283" s="73">
        <f t="shared" si="1377"/>
        <v>0</v>
      </c>
      <c r="AT283" s="73">
        <v>0.0</v>
      </c>
      <c r="AU283" s="73">
        <v>0.0</v>
      </c>
      <c r="AV283" s="73">
        <v>0.0</v>
      </c>
      <c r="AW283" s="73">
        <v>0.0</v>
      </c>
      <c r="AX283" s="73">
        <v>0.0</v>
      </c>
      <c r="AY283" s="73">
        <v>0.0</v>
      </c>
      <c r="AZ283" s="73">
        <f t="shared" ref="AZ283:BE283" si="1378">AN283+AT283</f>
        <v>0</v>
      </c>
      <c r="BA283" s="73">
        <f t="shared" si="1378"/>
        <v>0</v>
      </c>
      <c r="BB283" s="73">
        <f t="shared" si="1378"/>
        <v>0</v>
      </c>
      <c r="BC283" s="73">
        <f t="shared" si="1378"/>
        <v>3136.32</v>
      </c>
      <c r="BD283" s="73">
        <f t="shared" si="1378"/>
        <v>3136.32</v>
      </c>
      <c r="BE283" s="73">
        <f t="shared" si="1378"/>
        <v>0</v>
      </c>
      <c r="BF283" s="73"/>
      <c r="BG283" s="73"/>
      <c r="BH283" s="73"/>
      <c r="BI283" s="73"/>
      <c r="BJ283" s="73"/>
      <c r="BK283" s="73"/>
      <c r="BL283" s="73"/>
      <c r="BM283" s="73"/>
      <c r="BN283" s="73"/>
      <c r="BO283" s="73"/>
      <c r="BP283" s="73"/>
      <c r="BQ283" s="73"/>
      <c r="BR283" s="73"/>
      <c r="BS283" s="73"/>
      <c r="BT283" s="73"/>
      <c r="BU283" s="73"/>
      <c r="BV283" s="73"/>
      <c r="BW283" s="73"/>
      <c r="BX283" s="73"/>
      <c r="BY283" s="73"/>
      <c r="BZ283" s="73"/>
      <c r="CA283" s="73"/>
      <c r="CB283" s="73"/>
      <c r="CC283" s="73"/>
      <c r="CD283" s="73"/>
      <c r="CE283" s="73"/>
      <c r="CF283" s="73"/>
      <c r="CG283" s="73"/>
      <c r="CH283" s="73"/>
      <c r="CI283" s="73"/>
      <c r="CJ283" s="73"/>
      <c r="CK283" s="73"/>
      <c r="CL283" s="73"/>
      <c r="CM283" s="73"/>
      <c r="CN283" s="73"/>
      <c r="CO283" s="73"/>
      <c r="CP283" s="73"/>
      <c r="CQ283" s="73"/>
      <c r="CR283" s="73"/>
      <c r="CS283" s="73"/>
      <c r="CT283" s="73"/>
      <c r="CU283" s="73"/>
      <c r="CV283" s="73"/>
      <c r="CW283" s="73"/>
      <c r="CX283" s="73"/>
      <c r="CY283" s="73"/>
      <c r="CZ283" s="73"/>
      <c r="DA283" s="73"/>
      <c r="DB283" s="73"/>
      <c r="DC283" s="73"/>
      <c r="DD283" s="73"/>
      <c r="DE283" s="73"/>
      <c r="DF283" s="73"/>
      <c r="DG283" s="73"/>
      <c r="DH283" s="73"/>
      <c r="DI283" s="73"/>
      <c r="DJ283" s="73"/>
      <c r="DK283" s="73"/>
      <c r="DL283" s="73"/>
      <c r="DM283" s="73"/>
      <c r="DN283" s="73"/>
      <c r="DO283" s="73"/>
      <c r="DP283" s="73"/>
      <c r="DQ283" s="73"/>
      <c r="DR283" s="73"/>
      <c r="DS283" s="73"/>
      <c r="DT283" s="73"/>
      <c r="DU283" s="74"/>
      <c r="DV283" s="74"/>
      <c r="DW283" s="72"/>
      <c r="DX283" s="72"/>
      <c r="DY283" s="72"/>
      <c r="DZ283" s="75" t="s">
        <v>267</v>
      </c>
      <c r="EA283" s="84"/>
    </row>
    <row r="284" ht="21.75" customHeight="1">
      <c r="A284" s="64"/>
      <c r="B284" s="70"/>
      <c r="C284" s="71"/>
      <c r="D284" s="71"/>
      <c r="E284" s="71"/>
      <c r="F284" s="81" t="s">
        <v>55</v>
      </c>
      <c r="G284" s="73"/>
      <c r="H284" s="73"/>
      <c r="I284" s="73"/>
      <c r="J284" s="73"/>
      <c r="K284" s="73"/>
      <c r="L284" s="73"/>
      <c r="M284" s="73"/>
      <c r="N284" s="73"/>
      <c r="O284" s="73"/>
      <c r="P284" s="73"/>
      <c r="Q284" s="73"/>
      <c r="R284" s="73"/>
      <c r="S284" s="73"/>
      <c r="T284" s="73"/>
      <c r="U284" s="73"/>
      <c r="V284" s="73"/>
      <c r="W284" s="73"/>
      <c r="X284" s="73"/>
      <c r="Y284" s="73"/>
      <c r="Z284" s="73"/>
      <c r="AA284" s="73"/>
      <c r="AB284" s="73"/>
      <c r="AC284" s="73"/>
      <c r="AD284" s="73"/>
      <c r="AE284" s="73">
        <f t="shared" ref="AE284:AG284" si="1379">M284+S284+Y284</f>
        <v>0</v>
      </c>
      <c r="AF284" s="73">
        <f t="shared" si="1379"/>
        <v>0</v>
      </c>
      <c r="AG284" s="73">
        <f t="shared" si="1379"/>
        <v>0</v>
      </c>
      <c r="AH284" s="73"/>
      <c r="AI284" s="73"/>
      <c r="AJ284" s="73"/>
      <c r="AK284" s="73"/>
      <c r="AL284" s="73"/>
      <c r="AM284" s="73"/>
      <c r="AN284" s="73"/>
      <c r="AO284" s="73"/>
      <c r="AP284" s="73"/>
      <c r="AQ284" s="73"/>
      <c r="AR284" s="73"/>
      <c r="AS284" s="73"/>
      <c r="AT284" s="73"/>
      <c r="AU284" s="73"/>
      <c r="AV284" s="73"/>
      <c r="AW284" s="73">
        <v>0.0</v>
      </c>
      <c r="AX284" s="73">
        <v>0.0</v>
      </c>
      <c r="AY284" s="73">
        <v>0.0</v>
      </c>
      <c r="AZ284" s="73"/>
      <c r="BA284" s="73"/>
      <c r="BB284" s="73"/>
      <c r="BC284" s="73">
        <f t="shared" ref="BC284:BE284" si="1380">AQ284+AW284</f>
        <v>0</v>
      </c>
      <c r="BD284" s="73">
        <f t="shared" si="1380"/>
        <v>0</v>
      </c>
      <c r="BE284" s="73">
        <f t="shared" si="1380"/>
        <v>0</v>
      </c>
      <c r="BF284" s="73"/>
      <c r="BG284" s="73"/>
      <c r="BH284" s="73"/>
      <c r="BI284" s="73"/>
      <c r="BJ284" s="73"/>
      <c r="BK284" s="73"/>
      <c r="BL284" s="73"/>
      <c r="BM284" s="73"/>
      <c r="BN284" s="73"/>
      <c r="BO284" s="73"/>
      <c r="BP284" s="73"/>
      <c r="BQ284" s="73"/>
      <c r="BR284" s="73"/>
      <c r="BS284" s="73"/>
      <c r="BT284" s="73"/>
      <c r="BU284" s="73"/>
      <c r="BV284" s="73"/>
      <c r="BW284" s="73"/>
      <c r="BX284" s="73"/>
      <c r="BY284" s="73"/>
      <c r="BZ284" s="73"/>
      <c r="CA284" s="73"/>
      <c r="CB284" s="73"/>
      <c r="CC284" s="73"/>
      <c r="CD284" s="73"/>
      <c r="CE284" s="73"/>
      <c r="CF284" s="73"/>
      <c r="CG284" s="73"/>
      <c r="CH284" s="73"/>
      <c r="CI284" s="73"/>
      <c r="CJ284" s="73"/>
      <c r="CK284" s="73"/>
      <c r="CL284" s="73"/>
      <c r="CM284" s="73"/>
      <c r="CN284" s="73"/>
      <c r="CO284" s="73"/>
      <c r="CP284" s="73"/>
      <c r="CQ284" s="73"/>
      <c r="CR284" s="73"/>
      <c r="CS284" s="73"/>
      <c r="CT284" s="73"/>
      <c r="CU284" s="73"/>
      <c r="CV284" s="73"/>
      <c r="CW284" s="73"/>
      <c r="CX284" s="73"/>
      <c r="CY284" s="73"/>
      <c r="CZ284" s="73"/>
      <c r="DA284" s="73"/>
      <c r="DB284" s="73"/>
      <c r="DC284" s="73"/>
      <c r="DD284" s="73"/>
      <c r="DE284" s="73"/>
      <c r="DF284" s="73"/>
      <c r="DG284" s="73"/>
      <c r="DH284" s="73"/>
      <c r="DI284" s="73"/>
      <c r="DJ284" s="73"/>
      <c r="DK284" s="73"/>
      <c r="DL284" s="73"/>
      <c r="DM284" s="73"/>
      <c r="DN284" s="73"/>
      <c r="DO284" s="73"/>
      <c r="DP284" s="73"/>
      <c r="DQ284" s="73"/>
      <c r="DR284" s="73"/>
      <c r="DS284" s="73"/>
      <c r="DT284" s="73"/>
      <c r="DU284" s="74"/>
      <c r="DV284" s="74"/>
      <c r="DW284" s="72"/>
      <c r="DX284" s="72"/>
      <c r="DY284" s="72"/>
      <c r="DZ284" s="75"/>
      <c r="EA284" s="84"/>
    </row>
    <row r="285" ht="21.75" customHeight="1">
      <c r="A285" s="64"/>
      <c r="B285" s="70" t="s">
        <v>219</v>
      </c>
      <c r="C285" s="71" t="s">
        <v>268</v>
      </c>
      <c r="D285" s="71" t="s">
        <v>41</v>
      </c>
      <c r="E285" s="71" t="s">
        <v>255</v>
      </c>
      <c r="F285" s="106" t="s">
        <v>269</v>
      </c>
      <c r="G285" s="73">
        <v>2512255.0</v>
      </c>
      <c r="H285" s="73">
        <v>2512255.0</v>
      </c>
      <c r="I285" s="73">
        <v>0.0</v>
      </c>
      <c r="J285" s="73">
        <f>K285+L285</f>
        <v>0</v>
      </c>
      <c r="K285" s="73">
        <v>0.0</v>
      </c>
      <c r="L285" s="73">
        <v>0.0</v>
      </c>
      <c r="M285" s="73">
        <v>0.0</v>
      </c>
      <c r="N285" s="73">
        <v>0.0</v>
      </c>
      <c r="O285" s="73">
        <v>0.0</v>
      </c>
      <c r="P285" s="73">
        <f>Q285+R285</f>
        <v>0</v>
      </c>
      <c r="Q285" s="73">
        <v>0.0</v>
      </c>
      <c r="R285" s="73">
        <v>0.0</v>
      </c>
      <c r="S285" s="73">
        <v>0.0</v>
      </c>
      <c r="T285" s="73">
        <v>0.0</v>
      </c>
      <c r="U285" s="73">
        <v>0.0</v>
      </c>
      <c r="V285" s="73">
        <f>W285+X285</f>
        <v>0</v>
      </c>
      <c r="W285" s="73">
        <v>0.0</v>
      </c>
      <c r="X285" s="73">
        <v>0.0</v>
      </c>
      <c r="Y285" s="73">
        <v>0.0</v>
      </c>
      <c r="Z285" s="73">
        <v>0.0</v>
      </c>
      <c r="AA285" s="73">
        <v>0.0</v>
      </c>
      <c r="AB285" s="73">
        <f t="shared" ref="AB285:AG285" si="1381">J285+P285+V285</f>
        <v>0</v>
      </c>
      <c r="AC285" s="73">
        <f t="shared" si="1381"/>
        <v>0</v>
      </c>
      <c r="AD285" s="73">
        <f t="shared" si="1381"/>
        <v>0</v>
      </c>
      <c r="AE285" s="73">
        <f t="shared" si="1381"/>
        <v>0</v>
      </c>
      <c r="AF285" s="73">
        <f t="shared" si="1381"/>
        <v>0</v>
      </c>
      <c r="AG285" s="73">
        <f t="shared" si="1381"/>
        <v>0</v>
      </c>
      <c r="AH285" s="73">
        <v>0.0</v>
      </c>
      <c r="AI285" s="73">
        <v>0.0</v>
      </c>
      <c r="AJ285" s="73">
        <v>0.0</v>
      </c>
      <c r="AK285" s="73">
        <v>0.0</v>
      </c>
      <c r="AL285" s="73">
        <v>0.0</v>
      </c>
      <c r="AM285" s="73">
        <v>0.0</v>
      </c>
      <c r="AN285" s="73">
        <f t="shared" ref="AN285:AS285" si="1382">AB285+AH285</f>
        <v>0</v>
      </c>
      <c r="AO285" s="73">
        <f t="shared" si="1382"/>
        <v>0</v>
      </c>
      <c r="AP285" s="73">
        <f t="shared" si="1382"/>
        <v>0</v>
      </c>
      <c r="AQ285" s="73">
        <f t="shared" si="1382"/>
        <v>0</v>
      </c>
      <c r="AR285" s="73">
        <f t="shared" si="1382"/>
        <v>0</v>
      </c>
      <c r="AS285" s="73">
        <f t="shared" si="1382"/>
        <v>0</v>
      </c>
      <c r="AT285" s="73">
        <v>0.0</v>
      </c>
      <c r="AU285" s="73">
        <v>0.0</v>
      </c>
      <c r="AV285" s="73">
        <v>0.0</v>
      </c>
      <c r="AW285" s="73">
        <v>0.0</v>
      </c>
      <c r="AX285" s="73">
        <v>0.0</v>
      </c>
      <c r="AY285" s="73">
        <v>0.0</v>
      </c>
      <c r="AZ285" s="73">
        <f t="shared" ref="AZ285:BE285" si="1383">AN285+AT285</f>
        <v>0</v>
      </c>
      <c r="BA285" s="73">
        <f t="shared" si="1383"/>
        <v>0</v>
      </c>
      <c r="BB285" s="73">
        <f t="shared" si="1383"/>
        <v>0</v>
      </c>
      <c r="BC285" s="73">
        <f t="shared" si="1383"/>
        <v>0</v>
      </c>
      <c r="BD285" s="73">
        <f t="shared" si="1383"/>
        <v>0</v>
      </c>
      <c r="BE285" s="73">
        <f t="shared" si="1383"/>
        <v>0</v>
      </c>
      <c r="BF285" s="73"/>
      <c r="BG285" s="73"/>
      <c r="BH285" s="73"/>
      <c r="BI285" s="73"/>
      <c r="BJ285" s="73"/>
      <c r="BK285" s="73"/>
      <c r="BL285" s="73"/>
      <c r="BM285" s="73"/>
      <c r="BN285" s="73"/>
      <c r="BO285" s="73"/>
      <c r="BP285" s="73"/>
      <c r="BQ285" s="73"/>
      <c r="BR285" s="73"/>
      <c r="BS285" s="73"/>
      <c r="BT285" s="73"/>
      <c r="BU285" s="73"/>
      <c r="BV285" s="73"/>
      <c r="BW285" s="73"/>
      <c r="BX285" s="73"/>
      <c r="BY285" s="73"/>
      <c r="BZ285" s="73"/>
      <c r="CA285" s="73"/>
      <c r="CB285" s="73"/>
      <c r="CC285" s="73"/>
      <c r="CD285" s="73"/>
      <c r="CE285" s="73"/>
      <c r="CF285" s="73"/>
      <c r="CG285" s="73"/>
      <c r="CH285" s="73"/>
      <c r="CI285" s="73"/>
      <c r="CJ285" s="73"/>
      <c r="CK285" s="73"/>
      <c r="CL285" s="73"/>
      <c r="CM285" s="73"/>
      <c r="CN285" s="73"/>
      <c r="CO285" s="73"/>
      <c r="CP285" s="73"/>
      <c r="CQ285" s="73"/>
      <c r="CR285" s="73"/>
      <c r="CS285" s="73"/>
      <c r="CT285" s="73"/>
      <c r="CU285" s="73"/>
      <c r="CV285" s="73"/>
      <c r="CW285" s="73"/>
      <c r="CX285" s="73"/>
      <c r="CY285" s="73"/>
      <c r="CZ285" s="73"/>
      <c r="DA285" s="73"/>
      <c r="DB285" s="73"/>
      <c r="DC285" s="73"/>
      <c r="DD285" s="73"/>
      <c r="DE285" s="73"/>
      <c r="DF285" s="73"/>
      <c r="DG285" s="73"/>
      <c r="DH285" s="73"/>
      <c r="DI285" s="73"/>
      <c r="DJ285" s="73"/>
      <c r="DK285" s="73"/>
      <c r="DL285" s="73"/>
      <c r="DM285" s="73"/>
      <c r="DN285" s="73"/>
      <c r="DO285" s="73"/>
      <c r="DP285" s="73"/>
      <c r="DQ285" s="73"/>
      <c r="DR285" s="73"/>
      <c r="DS285" s="73"/>
      <c r="DT285" s="73"/>
      <c r="DU285" s="74"/>
      <c r="DV285" s="74"/>
      <c r="DW285" s="72"/>
      <c r="DX285" s="72"/>
      <c r="DY285" s="72"/>
      <c r="DZ285" s="106" t="s">
        <v>270</v>
      </c>
      <c r="EA285" s="84"/>
    </row>
    <row r="286" ht="21.75" customHeight="1">
      <c r="A286" s="64"/>
      <c r="B286" s="70"/>
      <c r="C286" s="71"/>
      <c r="D286" s="71"/>
      <c r="E286" s="71"/>
      <c r="F286" s="81" t="s">
        <v>55</v>
      </c>
      <c r="G286" s="73"/>
      <c r="H286" s="73"/>
      <c r="I286" s="73"/>
      <c r="J286" s="73"/>
      <c r="K286" s="73"/>
      <c r="L286" s="73"/>
      <c r="M286" s="73"/>
      <c r="N286" s="73"/>
      <c r="O286" s="73"/>
      <c r="P286" s="73"/>
      <c r="Q286" s="73"/>
      <c r="R286" s="73"/>
      <c r="S286" s="73"/>
      <c r="T286" s="73"/>
      <c r="U286" s="73"/>
      <c r="V286" s="73"/>
      <c r="W286" s="73"/>
      <c r="X286" s="73"/>
      <c r="Y286" s="73"/>
      <c r="Z286" s="73"/>
      <c r="AA286" s="73"/>
      <c r="AB286" s="73"/>
      <c r="AC286" s="73"/>
      <c r="AD286" s="73"/>
      <c r="AE286" s="73">
        <f t="shared" ref="AE286:AG286" si="1384">M286+S286+Y286</f>
        <v>0</v>
      </c>
      <c r="AF286" s="73">
        <f t="shared" si="1384"/>
        <v>0</v>
      </c>
      <c r="AG286" s="73">
        <f t="shared" si="1384"/>
        <v>0</v>
      </c>
      <c r="AH286" s="73"/>
      <c r="AI286" s="73"/>
      <c r="AJ286" s="73"/>
      <c r="AK286" s="73"/>
      <c r="AL286" s="73"/>
      <c r="AM286" s="73"/>
      <c r="AN286" s="73"/>
      <c r="AO286" s="73"/>
      <c r="AP286" s="73"/>
      <c r="AQ286" s="73"/>
      <c r="AR286" s="73"/>
      <c r="AS286" s="73"/>
      <c r="AT286" s="73"/>
      <c r="AU286" s="73"/>
      <c r="AV286" s="73"/>
      <c r="AW286" s="73">
        <v>0.0</v>
      </c>
      <c r="AX286" s="73">
        <v>0.0</v>
      </c>
      <c r="AY286" s="73">
        <v>0.0</v>
      </c>
      <c r="AZ286" s="73"/>
      <c r="BA286" s="73"/>
      <c r="BB286" s="73"/>
      <c r="BC286" s="73">
        <f t="shared" ref="BC286:BE286" si="1385">AQ286+AW286</f>
        <v>0</v>
      </c>
      <c r="BD286" s="73">
        <f t="shared" si="1385"/>
        <v>0</v>
      </c>
      <c r="BE286" s="73">
        <f t="shared" si="1385"/>
        <v>0</v>
      </c>
      <c r="BF286" s="73"/>
      <c r="BG286" s="73"/>
      <c r="BH286" s="73"/>
      <c r="BI286" s="73"/>
      <c r="BJ286" s="73"/>
      <c r="BK286" s="73"/>
      <c r="BL286" s="73"/>
      <c r="BM286" s="73"/>
      <c r="BN286" s="73"/>
      <c r="BO286" s="73"/>
      <c r="BP286" s="73"/>
      <c r="BQ286" s="73"/>
      <c r="BR286" s="73"/>
      <c r="BS286" s="73"/>
      <c r="BT286" s="73"/>
      <c r="BU286" s="73"/>
      <c r="BV286" s="73"/>
      <c r="BW286" s="73"/>
      <c r="BX286" s="73"/>
      <c r="BY286" s="73"/>
      <c r="BZ286" s="73"/>
      <c r="CA286" s="73"/>
      <c r="CB286" s="73"/>
      <c r="CC286" s="73"/>
      <c r="CD286" s="73"/>
      <c r="CE286" s="73"/>
      <c r="CF286" s="73"/>
      <c r="CG286" s="73"/>
      <c r="CH286" s="73"/>
      <c r="CI286" s="73"/>
      <c r="CJ286" s="73"/>
      <c r="CK286" s="73"/>
      <c r="CL286" s="73"/>
      <c r="CM286" s="73"/>
      <c r="CN286" s="73"/>
      <c r="CO286" s="73"/>
      <c r="CP286" s="73"/>
      <c r="CQ286" s="73"/>
      <c r="CR286" s="73"/>
      <c r="CS286" s="73"/>
      <c r="CT286" s="73"/>
      <c r="CU286" s="73"/>
      <c r="CV286" s="73"/>
      <c r="CW286" s="73"/>
      <c r="CX286" s="73"/>
      <c r="CY286" s="73"/>
      <c r="CZ286" s="73"/>
      <c r="DA286" s="73"/>
      <c r="DB286" s="73"/>
      <c r="DC286" s="73"/>
      <c r="DD286" s="73"/>
      <c r="DE286" s="73"/>
      <c r="DF286" s="73"/>
      <c r="DG286" s="73"/>
      <c r="DH286" s="73"/>
      <c r="DI286" s="73"/>
      <c r="DJ286" s="73"/>
      <c r="DK286" s="73"/>
      <c r="DL286" s="73"/>
      <c r="DM286" s="73"/>
      <c r="DN286" s="73"/>
      <c r="DO286" s="73"/>
      <c r="DP286" s="73"/>
      <c r="DQ286" s="73"/>
      <c r="DR286" s="73"/>
      <c r="DS286" s="73"/>
      <c r="DT286" s="73"/>
      <c r="DU286" s="74"/>
      <c r="DV286" s="74"/>
      <c r="DW286" s="72"/>
      <c r="DX286" s="72"/>
      <c r="DY286" s="72"/>
      <c r="DZ286" s="106"/>
      <c r="EA286" s="84"/>
    </row>
    <row r="287" ht="21.75" customHeight="1">
      <c r="A287" s="58"/>
      <c r="B287" s="59"/>
      <c r="C287" s="33"/>
      <c r="D287" s="33">
        <v>8.0</v>
      </c>
      <c r="E287" s="33"/>
      <c r="F287" s="60" t="s">
        <v>271</v>
      </c>
      <c r="G287" s="29">
        <f t="shared" ref="G287:AD287" si="1386">G289</f>
        <v>843810</v>
      </c>
      <c r="H287" s="29">
        <f t="shared" si="1386"/>
        <v>0</v>
      </c>
      <c r="I287" s="29">
        <f t="shared" si="1386"/>
        <v>843810</v>
      </c>
      <c r="J287" s="29">
        <f t="shared" si="1386"/>
        <v>0</v>
      </c>
      <c r="K287" s="29">
        <f t="shared" si="1386"/>
        <v>0</v>
      </c>
      <c r="L287" s="29">
        <f t="shared" si="1386"/>
        <v>0</v>
      </c>
      <c r="M287" s="29">
        <f t="shared" si="1386"/>
        <v>0</v>
      </c>
      <c r="N287" s="29">
        <f t="shared" si="1386"/>
        <v>0</v>
      </c>
      <c r="O287" s="29">
        <f t="shared" si="1386"/>
        <v>0</v>
      </c>
      <c r="P287" s="29">
        <f t="shared" si="1386"/>
        <v>0</v>
      </c>
      <c r="Q287" s="29">
        <f t="shared" si="1386"/>
        <v>0</v>
      </c>
      <c r="R287" s="29">
        <f t="shared" si="1386"/>
        <v>0</v>
      </c>
      <c r="S287" s="29">
        <f t="shared" si="1386"/>
        <v>0</v>
      </c>
      <c r="T287" s="29">
        <f t="shared" si="1386"/>
        <v>0</v>
      </c>
      <c r="U287" s="29">
        <f t="shared" si="1386"/>
        <v>0</v>
      </c>
      <c r="V287" s="29">
        <f t="shared" si="1386"/>
        <v>0</v>
      </c>
      <c r="W287" s="29">
        <f t="shared" si="1386"/>
        <v>0</v>
      </c>
      <c r="X287" s="29">
        <f t="shared" si="1386"/>
        <v>0</v>
      </c>
      <c r="Y287" s="29">
        <f t="shared" si="1386"/>
        <v>0</v>
      </c>
      <c r="Z287" s="29">
        <f t="shared" si="1386"/>
        <v>0</v>
      </c>
      <c r="AA287" s="29">
        <f t="shared" si="1386"/>
        <v>0</v>
      </c>
      <c r="AB287" s="29">
        <f t="shared" si="1386"/>
        <v>0</v>
      </c>
      <c r="AC287" s="29">
        <f t="shared" si="1386"/>
        <v>0</v>
      </c>
      <c r="AD287" s="29">
        <f t="shared" si="1386"/>
        <v>0</v>
      </c>
      <c r="AE287" s="103">
        <f t="shared" ref="AE287:AG287" si="1387">M287+S287+Y287</f>
        <v>0</v>
      </c>
      <c r="AF287" s="103">
        <f t="shared" si="1387"/>
        <v>0</v>
      </c>
      <c r="AG287" s="103">
        <f t="shared" si="1387"/>
        <v>0</v>
      </c>
      <c r="AH287" s="29">
        <f t="shared" ref="AH287:DY287" si="1388">AH289</f>
        <v>0</v>
      </c>
      <c r="AI287" s="29">
        <f t="shared" si="1388"/>
        <v>0</v>
      </c>
      <c r="AJ287" s="29">
        <f t="shared" si="1388"/>
        <v>0</v>
      </c>
      <c r="AK287" s="29">
        <f t="shared" si="1388"/>
        <v>0</v>
      </c>
      <c r="AL287" s="29">
        <f t="shared" si="1388"/>
        <v>0</v>
      </c>
      <c r="AM287" s="29">
        <f t="shared" si="1388"/>
        <v>0</v>
      </c>
      <c r="AN287" s="29">
        <f t="shared" si="1388"/>
        <v>0</v>
      </c>
      <c r="AO287" s="29">
        <f t="shared" si="1388"/>
        <v>0</v>
      </c>
      <c r="AP287" s="29">
        <f t="shared" si="1388"/>
        <v>0</v>
      </c>
      <c r="AQ287" s="29">
        <f t="shared" si="1388"/>
        <v>0</v>
      </c>
      <c r="AR287" s="29">
        <f t="shared" si="1388"/>
        <v>0</v>
      </c>
      <c r="AS287" s="29">
        <f t="shared" si="1388"/>
        <v>0</v>
      </c>
      <c r="AT287" s="29">
        <f t="shared" si="1388"/>
        <v>0</v>
      </c>
      <c r="AU287" s="29">
        <f t="shared" si="1388"/>
        <v>0</v>
      </c>
      <c r="AV287" s="29">
        <f t="shared" si="1388"/>
        <v>0</v>
      </c>
      <c r="AW287" s="29">
        <f t="shared" si="1388"/>
        <v>269.94</v>
      </c>
      <c r="AX287" s="29">
        <f t="shared" si="1388"/>
        <v>0</v>
      </c>
      <c r="AY287" s="29">
        <f t="shared" si="1388"/>
        <v>269.94</v>
      </c>
      <c r="AZ287" s="29">
        <f t="shared" si="1388"/>
        <v>0</v>
      </c>
      <c r="BA287" s="29">
        <f t="shared" si="1388"/>
        <v>0</v>
      </c>
      <c r="BB287" s="29">
        <f t="shared" si="1388"/>
        <v>0</v>
      </c>
      <c r="BC287" s="29">
        <f t="shared" si="1388"/>
        <v>269.94</v>
      </c>
      <c r="BD287" s="29">
        <f t="shared" si="1388"/>
        <v>0</v>
      </c>
      <c r="BE287" s="29">
        <f t="shared" si="1388"/>
        <v>269.94</v>
      </c>
      <c r="BF287" s="29">
        <f t="shared" si="1388"/>
        <v>78521</v>
      </c>
      <c r="BG287" s="29">
        <f t="shared" si="1388"/>
        <v>0</v>
      </c>
      <c r="BH287" s="29">
        <f t="shared" si="1388"/>
        <v>78521</v>
      </c>
      <c r="BI287" s="29">
        <f t="shared" si="1388"/>
        <v>0</v>
      </c>
      <c r="BJ287" s="29">
        <f t="shared" si="1388"/>
        <v>0</v>
      </c>
      <c r="BK287" s="29">
        <f t="shared" si="1388"/>
        <v>0</v>
      </c>
      <c r="BL287" s="29">
        <f t="shared" si="1388"/>
        <v>78521</v>
      </c>
      <c r="BM287" s="29">
        <f t="shared" si="1388"/>
        <v>0</v>
      </c>
      <c r="BN287" s="29">
        <f t="shared" si="1388"/>
        <v>78521</v>
      </c>
      <c r="BO287" s="29">
        <f t="shared" si="1388"/>
        <v>269.94</v>
      </c>
      <c r="BP287" s="29">
        <f t="shared" si="1388"/>
        <v>0</v>
      </c>
      <c r="BQ287" s="29">
        <f t="shared" si="1388"/>
        <v>269.94</v>
      </c>
      <c r="BR287" s="29">
        <f t="shared" si="1388"/>
        <v>13087</v>
      </c>
      <c r="BS287" s="29">
        <f t="shared" si="1388"/>
        <v>0</v>
      </c>
      <c r="BT287" s="29">
        <f t="shared" si="1388"/>
        <v>13087</v>
      </c>
      <c r="BU287" s="29">
        <f t="shared" si="1388"/>
        <v>0</v>
      </c>
      <c r="BV287" s="29">
        <f t="shared" si="1388"/>
        <v>0</v>
      </c>
      <c r="BW287" s="29">
        <f t="shared" si="1388"/>
        <v>0</v>
      </c>
      <c r="BX287" s="29">
        <f t="shared" si="1388"/>
        <v>39261</v>
      </c>
      <c r="BY287" s="29">
        <f t="shared" si="1388"/>
        <v>0</v>
      </c>
      <c r="BZ287" s="29">
        <f t="shared" si="1388"/>
        <v>39261</v>
      </c>
      <c r="CA287" s="29">
        <f t="shared" si="1388"/>
        <v>0</v>
      </c>
      <c r="CB287" s="29">
        <f t="shared" si="1388"/>
        <v>0</v>
      </c>
      <c r="CC287" s="29">
        <f t="shared" si="1388"/>
        <v>0</v>
      </c>
      <c r="CD287" s="29">
        <f t="shared" si="1388"/>
        <v>78521</v>
      </c>
      <c r="CE287" s="29">
        <f t="shared" si="1388"/>
        <v>0</v>
      </c>
      <c r="CF287" s="29">
        <f t="shared" si="1388"/>
        <v>78521</v>
      </c>
      <c r="CG287" s="29">
        <f t="shared" si="1388"/>
        <v>0</v>
      </c>
      <c r="CH287" s="29">
        <f t="shared" si="1388"/>
        <v>0</v>
      </c>
      <c r="CI287" s="29">
        <f t="shared" si="1388"/>
        <v>0</v>
      </c>
      <c r="CJ287" s="29">
        <f t="shared" si="1388"/>
        <v>130869</v>
      </c>
      <c r="CK287" s="29">
        <f t="shared" si="1388"/>
        <v>0</v>
      </c>
      <c r="CL287" s="29">
        <f t="shared" si="1388"/>
        <v>130869</v>
      </c>
      <c r="CM287" s="29">
        <f t="shared" si="1388"/>
        <v>0</v>
      </c>
      <c r="CN287" s="29">
        <f t="shared" si="1388"/>
        <v>0</v>
      </c>
      <c r="CO287" s="29">
        <f t="shared" si="1388"/>
        <v>0</v>
      </c>
      <c r="CP287" s="29">
        <f t="shared" si="1388"/>
        <v>126681</v>
      </c>
      <c r="CQ287" s="29">
        <f t="shared" si="1388"/>
        <v>0</v>
      </c>
      <c r="CR287" s="29">
        <f t="shared" si="1388"/>
        <v>126681</v>
      </c>
      <c r="CS287" s="29">
        <f t="shared" si="1388"/>
        <v>0</v>
      </c>
      <c r="CT287" s="29">
        <f t="shared" si="1388"/>
        <v>0</v>
      </c>
      <c r="CU287" s="29">
        <f t="shared" si="1388"/>
        <v>0</v>
      </c>
      <c r="CV287" s="29">
        <f t="shared" si="1388"/>
        <v>190022</v>
      </c>
      <c r="CW287" s="29">
        <f t="shared" si="1388"/>
        <v>0</v>
      </c>
      <c r="CX287" s="29">
        <f t="shared" si="1388"/>
        <v>190022</v>
      </c>
      <c r="CY287" s="29">
        <f t="shared" si="1388"/>
        <v>0</v>
      </c>
      <c r="CZ287" s="29">
        <f t="shared" si="1388"/>
        <v>0</v>
      </c>
      <c r="DA287" s="29">
        <f t="shared" si="1388"/>
        <v>0</v>
      </c>
      <c r="DB287" s="29">
        <f t="shared" si="1388"/>
        <v>316703</v>
      </c>
      <c r="DC287" s="29">
        <f t="shared" si="1388"/>
        <v>0</v>
      </c>
      <c r="DD287" s="29">
        <f t="shared" si="1388"/>
        <v>316703</v>
      </c>
      <c r="DE287" s="29">
        <f t="shared" si="1388"/>
        <v>0</v>
      </c>
      <c r="DF287" s="29">
        <f t="shared" si="1388"/>
        <v>0</v>
      </c>
      <c r="DG287" s="29">
        <f t="shared" si="1388"/>
        <v>0</v>
      </c>
      <c r="DH287" s="29">
        <f t="shared" si="1388"/>
        <v>633406</v>
      </c>
      <c r="DI287" s="29">
        <f t="shared" si="1388"/>
        <v>0</v>
      </c>
      <c r="DJ287" s="29">
        <f t="shared" si="1388"/>
        <v>633406</v>
      </c>
      <c r="DK287" s="29">
        <f t="shared" si="1388"/>
        <v>0</v>
      </c>
      <c r="DL287" s="29">
        <f t="shared" si="1388"/>
        <v>0</v>
      </c>
      <c r="DM287" s="29">
        <f t="shared" si="1388"/>
        <v>0</v>
      </c>
      <c r="DN287" s="29" t="str">
        <f t="shared" si="1388"/>
        <v/>
      </c>
      <c r="DO287" s="29" t="str">
        <f t="shared" si="1388"/>
        <v/>
      </c>
      <c r="DP287" s="29" t="str">
        <f t="shared" si="1388"/>
        <v/>
      </c>
      <c r="DQ287" s="29" t="str">
        <f t="shared" si="1388"/>
        <v/>
      </c>
      <c r="DR287" s="29" t="str">
        <f t="shared" si="1388"/>
        <v/>
      </c>
      <c r="DS287" s="29" t="str">
        <f t="shared" si="1388"/>
        <v/>
      </c>
      <c r="DT287" s="29" t="str">
        <f t="shared" si="1388"/>
        <v/>
      </c>
      <c r="DU287" s="29" t="str">
        <f t="shared" si="1388"/>
        <v/>
      </c>
      <c r="DV287" s="29" t="str">
        <f t="shared" si="1388"/>
        <v/>
      </c>
      <c r="DW287" s="29" t="str">
        <f t="shared" si="1388"/>
        <v/>
      </c>
      <c r="DX287" s="29" t="str">
        <f t="shared" si="1388"/>
        <v/>
      </c>
      <c r="DY287" s="29" t="str">
        <f t="shared" si="1388"/>
        <v/>
      </c>
      <c r="DZ287" s="108"/>
      <c r="EA287" s="105"/>
    </row>
    <row r="288" ht="21.75" customHeight="1">
      <c r="A288" s="64"/>
      <c r="B288" s="70" t="s">
        <v>272</v>
      </c>
      <c r="C288" s="72"/>
      <c r="D288" s="71" t="s">
        <v>41</v>
      </c>
      <c r="E288" s="71"/>
      <c r="F288" s="106" t="s">
        <v>273</v>
      </c>
      <c r="G288" s="73">
        <v>3180000.0</v>
      </c>
      <c r="H288" s="73">
        <v>2226000.0</v>
      </c>
      <c r="I288" s="73">
        <v>954000.0</v>
      </c>
      <c r="J288" s="73"/>
      <c r="K288" s="73"/>
      <c r="L288" s="73"/>
      <c r="M288" s="73"/>
      <c r="N288" s="73"/>
      <c r="O288" s="73"/>
      <c r="P288" s="73"/>
      <c r="Q288" s="73"/>
      <c r="R288" s="73"/>
      <c r="S288" s="73"/>
      <c r="T288" s="73"/>
      <c r="U288" s="73"/>
      <c r="V288" s="73"/>
      <c r="W288" s="73"/>
      <c r="X288" s="73"/>
      <c r="Y288" s="73"/>
      <c r="Z288" s="73"/>
      <c r="AA288" s="73"/>
      <c r="AB288" s="73">
        <f t="shared" ref="AB288:AG288" si="1389">J288+P288+V288</f>
        <v>0</v>
      </c>
      <c r="AC288" s="73">
        <f t="shared" si="1389"/>
        <v>0</v>
      </c>
      <c r="AD288" s="73">
        <f t="shared" si="1389"/>
        <v>0</v>
      </c>
      <c r="AE288" s="73">
        <f t="shared" si="1389"/>
        <v>0</v>
      </c>
      <c r="AF288" s="73">
        <f t="shared" si="1389"/>
        <v>0</v>
      </c>
      <c r="AG288" s="73">
        <f t="shared" si="1389"/>
        <v>0</v>
      </c>
      <c r="AH288" s="73"/>
      <c r="AI288" s="73"/>
      <c r="AJ288" s="73"/>
      <c r="AK288" s="73"/>
      <c r="AL288" s="73"/>
      <c r="AM288" s="73"/>
      <c r="AN288" s="73"/>
      <c r="AO288" s="73"/>
      <c r="AP288" s="73"/>
      <c r="AQ288" s="73"/>
      <c r="AR288" s="73"/>
      <c r="AS288" s="73"/>
      <c r="AT288" s="73"/>
      <c r="AU288" s="73"/>
      <c r="AV288" s="73"/>
      <c r="AW288" s="73"/>
      <c r="AX288" s="73"/>
      <c r="AY288" s="73"/>
      <c r="AZ288" s="73"/>
      <c r="BA288" s="73"/>
      <c r="BB288" s="73"/>
      <c r="BC288" s="73"/>
      <c r="BD288" s="73"/>
      <c r="BE288" s="73"/>
      <c r="BF288" s="73"/>
      <c r="BG288" s="73"/>
      <c r="BH288" s="73"/>
      <c r="BI288" s="73"/>
      <c r="BJ288" s="73"/>
      <c r="BK288" s="73"/>
      <c r="BL288" s="73"/>
      <c r="BM288" s="73"/>
      <c r="BN288" s="73"/>
      <c r="BO288" s="73"/>
      <c r="BP288" s="73"/>
      <c r="BQ288" s="73"/>
      <c r="BR288" s="73"/>
      <c r="BS288" s="73"/>
      <c r="BT288" s="73"/>
      <c r="BU288" s="73"/>
      <c r="BV288" s="73"/>
      <c r="BW288" s="73"/>
      <c r="BX288" s="73"/>
      <c r="BY288" s="73"/>
      <c r="BZ288" s="73"/>
      <c r="CA288" s="73"/>
      <c r="CB288" s="73"/>
      <c r="CC288" s="73"/>
      <c r="CD288" s="73"/>
      <c r="CE288" s="73"/>
      <c r="CF288" s="73"/>
      <c r="CG288" s="73"/>
      <c r="CH288" s="73"/>
      <c r="CI288" s="73"/>
      <c r="CJ288" s="73"/>
      <c r="CK288" s="73"/>
      <c r="CL288" s="73"/>
      <c r="CM288" s="73"/>
      <c r="CN288" s="73"/>
      <c r="CO288" s="73"/>
      <c r="CP288" s="73"/>
      <c r="CQ288" s="73"/>
      <c r="CR288" s="73"/>
      <c r="CS288" s="73"/>
      <c r="CT288" s="73"/>
      <c r="CU288" s="73"/>
      <c r="CV288" s="73"/>
      <c r="CW288" s="73"/>
      <c r="CX288" s="73"/>
      <c r="CY288" s="73"/>
      <c r="CZ288" s="73"/>
      <c r="DA288" s="73"/>
      <c r="DB288" s="73"/>
      <c r="DC288" s="73"/>
      <c r="DD288" s="73"/>
      <c r="DE288" s="73"/>
      <c r="DF288" s="73"/>
      <c r="DG288" s="73"/>
      <c r="DH288" s="73"/>
      <c r="DI288" s="73"/>
      <c r="DJ288" s="73"/>
      <c r="DK288" s="73"/>
      <c r="DL288" s="73"/>
      <c r="DM288" s="73"/>
      <c r="DN288" s="73"/>
      <c r="DO288" s="73"/>
      <c r="DP288" s="73"/>
      <c r="DQ288" s="73"/>
      <c r="DR288" s="73"/>
      <c r="DS288" s="73"/>
      <c r="DT288" s="73"/>
      <c r="DU288" s="74"/>
      <c r="DV288" s="74"/>
      <c r="DW288" s="72"/>
      <c r="DX288" s="72"/>
      <c r="DY288" s="72"/>
      <c r="DZ288" s="75"/>
      <c r="EA288" s="76"/>
    </row>
    <row r="289" ht="21.75" customHeight="1">
      <c r="A289" s="64"/>
      <c r="B289" s="70"/>
      <c r="C289" s="71" t="s">
        <v>274</v>
      </c>
      <c r="D289" s="71"/>
      <c r="E289" s="71" t="s">
        <v>121</v>
      </c>
      <c r="F289" s="81" t="s">
        <v>275</v>
      </c>
      <c r="G289" s="73">
        <v>843810.0</v>
      </c>
      <c r="H289" s="73">
        <v>0.0</v>
      </c>
      <c r="I289" s="73">
        <v>843810.0</v>
      </c>
      <c r="J289" s="73">
        <f>K289+L289</f>
        <v>0</v>
      </c>
      <c r="K289" s="73">
        <v>0.0</v>
      </c>
      <c r="L289" s="73">
        <v>0.0</v>
      </c>
      <c r="M289" s="73">
        <f>N289+O289</f>
        <v>0</v>
      </c>
      <c r="N289" s="73">
        <v>0.0</v>
      </c>
      <c r="O289" s="73">
        <v>0.0</v>
      </c>
      <c r="P289" s="73">
        <f>Q289+R289</f>
        <v>0</v>
      </c>
      <c r="Q289" s="73">
        <v>0.0</v>
      </c>
      <c r="R289" s="73">
        <v>0.0</v>
      </c>
      <c r="S289" s="73">
        <f>T289+U289</f>
        <v>0</v>
      </c>
      <c r="T289" s="73">
        <v>0.0</v>
      </c>
      <c r="U289" s="73">
        <v>0.0</v>
      </c>
      <c r="V289" s="73">
        <v>0.0</v>
      </c>
      <c r="W289" s="73">
        <v>0.0</v>
      </c>
      <c r="X289" s="73">
        <v>0.0</v>
      </c>
      <c r="Y289" s="73">
        <v>0.0</v>
      </c>
      <c r="Z289" s="73">
        <v>0.0</v>
      </c>
      <c r="AA289" s="73">
        <v>0.0</v>
      </c>
      <c r="AB289" s="73">
        <f t="shared" ref="AB289:AG289" si="1390">J289+P289+V289</f>
        <v>0</v>
      </c>
      <c r="AC289" s="73">
        <f t="shared" si="1390"/>
        <v>0</v>
      </c>
      <c r="AD289" s="73">
        <f t="shared" si="1390"/>
        <v>0</v>
      </c>
      <c r="AE289" s="73">
        <f t="shared" si="1390"/>
        <v>0</v>
      </c>
      <c r="AF289" s="73">
        <f t="shared" si="1390"/>
        <v>0</v>
      </c>
      <c r="AG289" s="73">
        <f t="shared" si="1390"/>
        <v>0</v>
      </c>
      <c r="AH289" s="73">
        <v>0.0</v>
      </c>
      <c r="AI289" s="73">
        <v>0.0</v>
      </c>
      <c r="AJ289" s="73">
        <v>0.0</v>
      </c>
      <c r="AK289" s="73">
        <v>0.0</v>
      </c>
      <c r="AL289" s="73">
        <v>0.0</v>
      </c>
      <c r="AM289" s="73">
        <v>0.0</v>
      </c>
      <c r="AN289" s="73">
        <f t="shared" ref="AN289:AS289" si="1391">AB289+AH289</f>
        <v>0</v>
      </c>
      <c r="AO289" s="73">
        <f t="shared" si="1391"/>
        <v>0</v>
      </c>
      <c r="AP289" s="73">
        <f t="shared" si="1391"/>
        <v>0</v>
      </c>
      <c r="AQ289" s="73">
        <f t="shared" si="1391"/>
        <v>0</v>
      </c>
      <c r="AR289" s="73">
        <f t="shared" si="1391"/>
        <v>0</v>
      </c>
      <c r="AS289" s="73">
        <f t="shared" si="1391"/>
        <v>0</v>
      </c>
      <c r="AT289" s="73">
        <v>0.0</v>
      </c>
      <c r="AU289" s="73">
        <v>0.0</v>
      </c>
      <c r="AV289" s="73">
        <v>0.0</v>
      </c>
      <c r="AW289" s="73">
        <v>269.94</v>
      </c>
      <c r="AX289" s="73">
        <v>0.0</v>
      </c>
      <c r="AY289" s="73">
        <v>269.94</v>
      </c>
      <c r="AZ289" s="73">
        <f t="shared" ref="AZ289:BE289" si="1392">AN289+AT289</f>
        <v>0</v>
      </c>
      <c r="BA289" s="73">
        <f t="shared" si="1392"/>
        <v>0</v>
      </c>
      <c r="BB289" s="73">
        <f t="shared" si="1392"/>
        <v>0</v>
      </c>
      <c r="BC289" s="73">
        <f t="shared" si="1392"/>
        <v>269.94</v>
      </c>
      <c r="BD289" s="73">
        <f t="shared" si="1392"/>
        <v>0</v>
      </c>
      <c r="BE289" s="73">
        <f t="shared" si="1392"/>
        <v>269.94</v>
      </c>
      <c r="BF289" s="73">
        <v>78521.0</v>
      </c>
      <c r="BG289" s="73">
        <v>0.0</v>
      </c>
      <c r="BH289" s="73">
        <v>78521.0</v>
      </c>
      <c r="BI289" s="73">
        <v>0.0</v>
      </c>
      <c r="BJ289" s="73">
        <v>0.0</v>
      </c>
      <c r="BK289" s="73">
        <v>0.0</v>
      </c>
      <c r="BL289" s="73">
        <f t="shared" ref="BL289:BQ289" si="1393">AH289+AT289+BF289</f>
        <v>78521</v>
      </c>
      <c r="BM289" s="73">
        <f t="shared" si="1393"/>
        <v>0</v>
      </c>
      <c r="BN289" s="73">
        <f t="shared" si="1393"/>
        <v>78521</v>
      </c>
      <c r="BO289" s="73">
        <f t="shared" si="1393"/>
        <v>269.94</v>
      </c>
      <c r="BP289" s="73">
        <f t="shared" si="1393"/>
        <v>0</v>
      </c>
      <c r="BQ289" s="73">
        <f t="shared" si="1393"/>
        <v>269.94</v>
      </c>
      <c r="BR289" s="73">
        <v>13087.0</v>
      </c>
      <c r="BS289" s="73">
        <v>0.0</v>
      </c>
      <c r="BT289" s="73">
        <v>13087.0</v>
      </c>
      <c r="BU289" s="73">
        <v>0.0</v>
      </c>
      <c r="BV289" s="73">
        <v>0.0</v>
      </c>
      <c r="BW289" s="73">
        <v>0.0</v>
      </c>
      <c r="BX289" s="73">
        <v>39261.0</v>
      </c>
      <c r="BY289" s="73">
        <v>0.0</v>
      </c>
      <c r="BZ289" s="73">
        <v>39261.0</v>
      </c>
      <c r="CA289" s="73">
        <v>0.0</v>
      </c>
      <c r="CB289" s="73">
        <v>0.0</v>
      </c>
      <c r="CC289" s="73">
        <v>0.0</v>
      </c>
      <c r="CD289" s="73">
        <v>78521.0</v>
      </c>
      <c r="CE289" s="73">
        <v>0.0</v>
      </c>
      <c r="CF289" s="73">
        <v>78521.0</v>
      </c>
      <c r="CG289" s="73">
        <v>0.0</v>
      </c>
      <c r="CH289" s="73">
        <v>0.0</v>
      </c>
      <c r="CI289" s="73">
        <v>0.0</v>
      </c>
      <c r="CJ289" s="73">
        <f t="shared" ref="CJ289:CO289" si="1394">BR289+BX289+CD289</f>
        <v>130869</v>
      </c>
      <c r="CK289" s="73">
        <f t="shared" si="1394"/>
        <v>0</v>
      </c>
      <c r="CL289" s="73">
        <f t="shared" si="1394"/>
        <v>130869</v>
      </c>
      <c r="CM289" s="73">
        <f t="shared" si="1394"/>
        <v>0</v>
      </c>
      <c r="CN289" s="73">
        <f t="shared" si="1394"/>
        <v>0</v>
      </c>
      <c r="CO289" s="73">
        <f t="shared" si="1394"/>
        <v>0</v>
      </c>
      <c r="CP289" s="73">
        <v>126681.0</v>
      </c>
      <c r="CQ289" s="73">
        <v>0.0</v>
      </c>
      <c r="CR289" s="73">
        <v>126681.0</v>
      </c>
      <c r="CS289" s="73">
        <v>0.0</v>
      </c>
      <c r="CT289" s="73">
        <v>0.0</v>
      </c>
      <c r="CU289" s="73">
        <v>0.0</v>
      </c>
      <c r="CV289" s="73">
        <v>190022.0</v>
      </c>
      <c r="CW289" s="73">
        <v>0.0</v>
      </c>
      <c r="CX289" s="73">
        <v>190022.0</v>
      </c>
      <c r="CY289" s="73">
        <v>0.0</v>
      </c>
      <c r="CZ289" s="73">
        <v>0.0</v>
      </c>
      <c r="DA289" s="73">
        <v>0.0</v>
      </c>
      <c r="DB289" s="73">
        <v>316703.0</v>
      </c>
      <c r="DC289" s="73">
        <v>0.0</v>
      </c>
      <c r="DD289" s="73">
        <v>316703.0</v>
      </c>
      <c r="DE289" s="73">
        <v>0.0</v>
      </c>
      <c r="DF289" s="73">
        <v>0.0</v>
      </c>
      <c r="DG289" s="73">
        <v>0.0</v>
      </c>
      <c r="DH289" s="73">
        <f t="shared" ref="DH289:DM289" si="1395">CP289+CV289+DB289</f>
        <v>633406</v>
      </c>
      <c r="DI289" s="73">
        <f t="shared" si="1395"/>
        <v>0</v>
      </c>
      <c r="DJ289" s="73">
        <f t="shared" si="1395"/>
        <v>633406</v>
      </c>
      <c r="DK289" s="73">
        <f t="shared" si="1395"/>
        <v>0</v>
      </c>
      <c r="DL289" s="73">
        <f t="shared" si="1395"/>
        <v>0</v>
      </c>
      <c r="DM289" s="73">
        <f t="shared" si="1395"/>
        <v>0</v>
      </c>
      <c r="DN289" s="73"/>
      <c r="DO289" s="73"/>
      <c r="DP289" s="73"/>
      <c r="DQ289" s="73"/>
      <c r="DR289" s="73"/>
      <c r="DS289" s="73"/>
      <c r="DT289" s="73"/>
      <c r="DU289" s="74"/>
      <c r="DV289" s="74"/>
      <c r="DW289" s="72"/>
      <c r="DX289" s="72"/>
      <c r="DY289" s="72"/>
      <c r="DZ289" s="72"/>
      <c r="EA289" s="82" t="s">
        <v>276</v>
      </c>
    </row>
    <row r="290" ht="21.75" customHeight="1">
      <c r="A290" s="64"/>
      <c r="B290" s="70"/>
      <c r="C290" s="71"/>
      <c r="D290" s="71"/>
      <c r="E290" s="71"/>
      <c r="F290" s="81" t="s">
        <v>277</v>
      </c>
      <c r="G290" s="73">
        <v>2336190.0</v>
      </c>
      <c r="H290" s="73">
        <v>2226000.0</v>
      </c>
      <c r="I290" s="73">
        <v>110190.0</v>
      </c>
      <c r="J290" s="73"/>
      <c r="K290" s="73"/>
      <c r="L290" s="73"/>
      <c r="M290" s="73"/>
      <c r="N290" s="73"/>
      <c r="O290" s="73"/>
      <c r="P290" s="73"/>
      <c r="Q290" s="73"/>
      <c r="R290" s="73"/>
      <c r="S290" s="73"/>
      <c r="T290" s="73"/>
      <c r="U290" s="73"/>
      <c r="V290" s="73"/>
      <c r="W290" s="73"/>
      <c r="X290" s="73"/>
      <c r="Y290" s="73"/>
      <c r="Z290" s="73"/>
      <c r="AA290" s="73"/>
      <c r="AB290" s="73">
        <f t="shared" ref="AB290:AG290" si="1396">J290+P290+V290</f>
        <v>0</v>
      </c>
      <c r="AC290" s="73">
        <f t="shared" si="1396"/>
        <v>0</v>
      </c>
      <c r="AD290" s="73">
        <f t="shared" si="1396"/>
        <v>0</v>
      </c>
      <c r="AE290" s="73">
        <f t="shared" si="1396"/>
        <v>0</v>
      </c>
      <c r="AF290" s="73">
        <f t="shared" si="1396"/>
        <v>0</v>
      </c>
      <c r="AG290" s="73">
        <f t="shared" si="1396"/>
        <v>0</v>
      </c>
      <c r="AH290" s="73"/>
      <c r="AI290" s="73"/>
      <c r="AJ290" s="73"/>
      <c r="AK290" s="73"/>
      <c r="AL290" s="73"/>
      <c r="AM290" s="73"/>
      <c r="AN290" s="73"/>
      <c r="AO290" s="73"/>
      <c r="AP290" s="73"/>
      <c r="AQ290" s="73"/>
      <c r="AR290" s="73"/>
      <c r="AS290" s="73"/>
      <c r="AT290" s="73"/>
      <c r="AU290" s="73"/>
      <c r="AV290" s="73"/>
      <c r="AW290" s="73"/>
      <c r="AX290" s="73"/>
      <c r="AY290" s="73"/>
      <c r="AZ290" s="73"/>
      <c r="BA290" s="73"/>
      <c r="BB290" s="73"/>
      <c r="BC290" s="73"/>
      <c r="BD290" s="73"/>
      <c r="BE290" s="73"/>
      <c r="BF290" s="73"/>
      <c r="BG290" s="73"/>
      <c r="BH290" s="73"/>
      <c r="BI290" s="73"/>
      <c r="BJ290" s="73"/>
      <c r="BK290" s="73"/>
      <c r="BL290" s="73"/>
      <c r="BM290" s="73"/>
      <c r="BN290" s="73"/>
      <c r="BO290" s="73"/>
      <c r="BP290" s="73"/>
      <c r="BQ290" s="73"/>
      <c r="BR290" s="73"/>
      <c r="BS290" s="73"/>
      <c r="BT290" s="73"/>
      <c r="BU290" s="73"/>
      <c r="BV290" s="73"/>
      <c r="BW290" s="73"/>
      <c r="BX290" s="73"/>
      <c r="BY290" s="73"/>
      <c r="BZ290" s="73"/>
      <c r="CA290" s="73"/>
      <c r="CB290" s="73"/>
      <c r="CC290" s="73"/>
      <c r="CD290" s="73"/>
      <c r="CE290" s="73"/>
      <c r="CF290" s="73"/>
      <c r="CG290" s="73"/>
      <c r="CH290" s="73"/>
      <c r="CI290" s="73"/>
      <c r="CJ290" s="73"/>
      <c r="CK290" s="73"/>
      <c r="CL290" s="73"/>
      <c r="CM290" s="73"/>
      <c r="CN290" s="73"/>
      <c r="CO290" s="73"/>
      <c r="CP290" s="73"/>
      <c r="CQ290" s="73"/>
      <c r="CR290" s="73"/>
      <c r="CS290" s="73"/>
      <c r="CT290" s="73"/>
      <c r="CU290" s="73"/>
      <c r="CV290" s="73"/>
      <c r="CW290" s="73"/>
      <c r="CX290" s="73"/>
      <c r="CY290" s="73"/>
      <c r="CZ290" s="73"/>
      <c r="DA290" s="73"/>
      <c r="DB290" s="73"/>
      <c r="DC290" s="73"/>
      <c r="DD290" s="73"/>
      <c r="DE290" s="73"/>
      <c r="DF290" s="73"/>
      <c r="DG290" s="73"/>
      <c r="DH290" s="73"/>
      <c r="DI290" s="73"/>
      <c r="DJ290" s="73"/>
      <c r="DK290" s="73"/>
      <c r="DL290" s="73"/>
      <c r="DM290" s="73"/>
      <c r="DN290" s="73"/>
      <c r="DO290" s="73"/>
      <c r="DP290" s="73"/>
      <c r="DQ290" s="73"/>
      <c r="DR290" s="73"/>
      <c r="DS290" s="73"/>
      <c r="DT290" s="73"/>
      <c r="DU290" s="74"/>
      <c r="DV290" s="74"/>
      <c r="DW290" s="72"/>
      <c r="DX290" s="72"/>
      <c r="DY290" s="72"/>
      <c r="DZ290" s="75"/>
      <c r="EA290" s="76"/>
    </row>
    <row r="291" ht="21.75" customHeight="1">
      <c r="A291" s="58"/>
      <c r="B291" s="59"/>
      <c r="C291" s="33"/>
      <c r="D291" s="33">
        <v>9.0</v>
      </c>
      <c r="E291" s="33"/>
      <c r="F291" s="60" t="s">
        <v>278</v>
      </c>
      <c r="G291" s="29">
        <f t="shared" ref="G291:AD291" si="1397">SUM(G292:G299)</f>
        <v>3069349</v>
      </c>
      <c r="H291" s="29">
        <f t="shared" si="1397"/>
        <v>152910</v>
      </c>
      <c r="I291" s="29">
        <f t="shared" si="1397"/>
        <v>2916439</v>
      </c>
      <c r="J291" s="29">
        <f t="shared" si="1397"/>
        <v>0</v>
      </c>
      <c r="K291" s="29">
        <f t="shared" si="1397"/>
        <v>0</v>
      </c>
      <c r="L291" s="29">
        <f t="shared" si="1397"/>
        <v>0</v>
      </c>
      <c r="M291" s="29">
        <f t="shared" si="1397"/>
        <v>0</v>
      </c>
      <c r="N291" s="29">
        <f t="shared" si="1397"/>
        <v>0</v>
      </c>
      <c r="O291" s="29">
        <f t="shared" si="1397"/>
        <v>0</v>
      </c>
      <c r="P291" s="29">
        <f t="shared" si="1397"/>
        <v>0</v>
      </c>
      <c r="Q291" s="29">
        <f t="shared" si="1397"/>
        <v>0</v>
      </c>
      <c r="R291" s="29">
        <f t="shared" si="1397"/>
        <v>0</v>
      </c>
      <c r="S291" s="29">
        <f t="shared" si="1397"/>
        <v>145909.721</v>
      </c>
      <c r="T291" s="29">
        <f t="shared" si="1397"/>
        <v>145909.721</v>
      </c>
      <c r="U291" s="29">
        <f t="shared" si="1397"/>
        <v>0</v>
      </c>
      <c r="V291" s="29">
        <f t="shared" si="1397"/>
        <v>0</v>
      </c>
      <c r="W291" s="29">
        <f t="shared" si="1397"/>
        <v>0</v>
      </c>
      <c r="X291" s="29">
        <f t="shared" si="1397"/>
        <v>0</v>
      </c>
      <c r="Y291" s="29">
        <f t="shared" si="1397"/>
        <v>0</v>
      </c>
      <c r="Z291" s="29">
        <f t="shared" si="1397"/>
        <v>0</v>
      </c>
      <c r="AA291" s="29">
        <f t="shared" si="1397"/>
        <v>0</v>
      </c>
      <c r="AB291" s="29">
        <f t="shared" si="1397"/>
        <v>0</v>
      </c>
      <c r="AC291" s="29">
        <f t="shared" si="1397"/>
        <v>0</v>
      </c>
      <c r="AD291" s="29">
        <f t="shared" si="1397"/>
        <v>0</v>
      </c>
      <c r="AE291" s="103">
        <f t="shared" ref="AE291:AG291" si="1398">M291+S291+Y291</f>
        <v>145909.721</v>
      </c>
      <c r="AF291" s="103">
        <f t="shared" si="1398"/>
        <v>145909.721</v>
      </c>
      <c r="AG291" s="103">
        <f t="shared" si="1398"/>
        <v>0</v>
      </c>
      <c r="AH291" s="29">
        <f t="shared" ref="AH291:BE291" si="1399">SUM(AH292:AH299)</f>
        <v>0</v>
      </c>
      <c r="AI291" s="29">
        <f t="shared" si="1399"/>
        <v>0</v>
      </c>
      <c r="AJ291" s="29">
        <f t="shared" si="1399"/>
        <v>0</v>
      </c>
      <c r="AK291" s="29">
        <f t="shared" si="1399"/>
        <v>4861.216</v>
      </c>
      <c r="AL291" s="29">
        <f t="shared" si="1399"/>
        <v>4861.216</v>
      </c>
      <c r="AM291" s="29">
        <f t="shared" si="1399"/>
        <v>0</v>
      </c>
      <c r="AN291" s="29">
        <f t="shared" si="1399"/>
        <v>0</v>
      </c>
      <c r="AO291" s="29">
        <f t="shared" si="1399"/>
        <v>0</v>
      </c>
      <c r="AP291" s="29">
        <f t="shared" si="1399"/>
        <v>0</v>
      </c>
      <c r="AQ291" s="29">
        <f t="shared" si="1399"/>
        <v>150770.937</v>
      </c>
      <c r="AR291" s="29">
        <f t="shared" si="1399"/>
        <v>150770.937</v>
      </c>
      <c r="AS291" s="29">
        <f t="shared" si="1399"/>
        <v>0</v>
      </c>
      <c r="AT291" s="29">
        <f t="shared" si="1399"/>
        <v>0</v>
      </c>
      <c r="AU291" s="29">
        <f t="shared" si="1399"/>
        <v>0</v>
      </c>
      <c r="AV291" s="29">
        <f t="shared" si="1399"/>
        <v>0</v>
      </c>
      <c r="AW291" s="29">
        <f t="shared" si="1399"/>
        <v>434.30047</v>
      </c>
      <c r="AX291" s="29">
        <f t="shared" si="1399"/>
        <v>434.30047</v>
      </c>
      <c r="AY291" s="29">
        <f t="shared" si="1399"/>
        <v>0</v>
      </c>
      <c r="AZ291" s="29">
        <f t="shared" si="1399"/>
        <v>0</v>
      </c>
      <c r="BA291" s="29">
        <f t="shared" si="1399"/>
        <v>0</v>
      </c>
      <c r="BB291" s="29">
        <f t="shared" si="1399"/>
        <v>0</v>
      </c>
      <c r="BC291" s="29">
        <f t="shared" si="1399"/>
        <v>151205.2375</v>
      </c>
      <c r="BD291" s="29">
        <f t="shared" si="1399"/>
        <v>151205.2375</v>
      </c>
      <c r="BE291" s="29">
        <f t="shared" si="1399"/>
        <v>0</v>
      </c>
      <c r="BF291" s="29">
        <f t="shared" ref="BF291:DY291" si="1400">SUM(BF292:BF298)</f>
        <v>162912</v>
      </c>
      <c r="BG291" s="29">
        <f t="shared" si="1400"/>
        <v>0</v>
      </c>
      <c r="BH291" s="29">
        <f t="shared" si="1400"/>
        <v>162912</v>
      </c>
      <c r="BI291" s="29">
        <f t="shared" si="1400"/>
        <v>0</v>
      </c>
      <c r="BJ291" s="29">
        <f t="shared" si="1400"/>
        <v>0</v>
      </c>
      <c r="BK291" s="29">
        <f t="shared" si="1400"/>
        <v>0</v>
      </c>
      <c r="BL291" s="29">
        <f t="shared" si="1400"/>
        <v>162912</v>
      </c>
      <c r="BM291" s="29">
        <f t="shared" si="1400"/>
        <v>0</v>
      </c>
      <c r="BN291" s="29">
        <f t="shared" si="1400"/>
        <v>162912</v>
      </c>
      <c r="BO291" s="29">
        <f t="shared" si="1400"/>
        <v>0</v>
      </c>
      <c r="BP291" s="29">
        <f t="shared" si="1400"/>
        <v>0</v>
      </c>
      <c r="BQ291" s="29">
        <f t="shared" si="1400"/>
        <v>0</v>
      </c>
      <c r="BR291" s="29">
        <f t="shared" si="1400"/>
        <v>27151</v>
      </c>
      <c r="BS291" s="29">
        <f t="shared" si="1400"/>
        <v>0</v>
      </c>
      <c r="BT291" s="29">
        <f t="shared" si="1400"/>
        <v>27151</v>
      </c>
      <c r="BU291" s="29">
        <f t="shared" si="1400"/>
        <v>0</v>
      </c>
      <c r="BV291" s="29">
        <f t="shared" si="1400"/>
        <v>0</v>
      </c>
      <c r="BW291" s="29">
        <f t="shared" si="1400"/>
        <v>0</v>
      </c>
      <c r="BX291" s="29">
        <f t="shared" si="1400"/>
        <v>81456</v>
      </c>
      <c r="BY291" s="29">
        <f t="shared" si="1400"/>
        <v>0</v>
      </c>
      <c r="BZ291" s="29">
        <f t="shared" si="1400"/>
        <v>81456</v>
      </c>
      <c r="CA291" s="29">
        <f t="shared" si="1400"/>
        <v>0</v>
      </c>
      <c r="CB291" s="29">
        <f t="shared" si="1400"/>
        <v>0</v>
      </c>
      <c r="CC291" s="29">
        <f t="shared" si="1400"/>
        <v>0</v>
      </c>
      <c r="CD291" s="29">
        <f t="shared" si="1400"/>
        <v>162912</v>
      </c>
      <c r="CE291" s="29">
        <f t="shared" si="1400"/>
        <v>0</v>
      </c>
      <c r="CF291" s="29">
        <f t="shared" si="1400"/>
        <v>162912</v>
      </c>
      <c r="CG291" s="29">
        <f t="shared" si="1400"/>
        <v>0</v>
      </c>
      <c r="CH291" s="29">
        <f t="shared" si="1400"/>
        <v>0</v>
      </c>
      <c r="CI291" s="29">
        <f t="shared" si="1400"/>
        <v>0</v>
      </c>
      <c r="CJ291" s="29">
        <f t="shared" si="1400"/>
        <v>271519</v>
      </c>
      <c r="CK291" s="29">
        <f t="shared" si="1400"/>
        <v>0</v>
      </c>
      <c r="CL291" s="29">
        <f t="shared" si="1400"/>
        <v>271519</v>
      </c>
      <c r="CM291" s="29">
        <f t="shared" si="1400"/>
        <v>0</v>
      </c>
      <c r="CN291" s="29">
        <f t="shared" si="1400"/>
        <v>0</v>
      </c>
      <c r="CO291" s="29">
        <f t="shared" si="1400"/>
        <v>0</v>
      </c>
      <c r="CP291" s="29">
        <f t="shared" si="1400"/>
        <v>262830</v>
      </c>
      <c r="CQ291" s="29">
        <f t="shared" si="1400"/>
        <v>0</v>
      </c>
      <c r="CR291" s="29">
        <f t="shared" si="1400"/>
        <v>262830</v>
      </c>
      <c r="CS291" s="29">
        <f t="shared" si="1400"/>
        <v>0</v>
      </c>
      <c r="CT291" s="29">
        <f t="shared" si="1400"/>
        <v>0</v>
      </c>
      <c r="CU291" s="29">
        <f t="shared" si="1400"/>
        <v>0</v>
      </c>
      <c r="CV291" s="29">
        <f t="shared" si="1400"/>
        <v>394246</v>
      </c>
      <c r="CW291" s="29">
        <f t="shared" si="1400"/>
        <v>0</v>
      </c>
      <c r="CX291" s="29">
        <f t="shared" si="1400"/>
        <v>394246</v>
      </c>
      <c r="CY291" s="29">
        <f t="shared" si="1400"/>
        <v>0</v>
      </c>
      <c r="CZ291" s="29">
        <f t="shared" si="1400"/>
        <v>0</v>
      </c>
      <c r="DA291" s="29">
        <f t="shared" si="1400"/>
        <v>0</v>
      </c>
      <c r="DB291" s="29">
        <f t="shared" si="1400"/>
        <v>657077</v>
      </c>
      <c r="DC291" s="29">
        <f t="shared" si="1400"/>
        <v>0</v>
      </c>
      <c r="DD291" s="29">
        <f t="shared" si="1400"/>
        <v>657077</v>
      </c>
      <c r="DE291" s="29">
        <f t="shared" si="1400"/>
        <v>0</v>
      </c>
      <c r="DF291" s="29">
        <f t="shared" si="1400"/>
        <v>0</v>
      </c>
      <c r="DG291" s="29">
        <f t="shared" si="1400"/>
        <v>0</v>
      </c>
      <c r="DH291" s="29">
        <f t="shared" si="1400"/>
        <v>1314153</v>
      </c>
      <c r="DI291" s="29">
        <f t="shared" si="1400"/>
        <v>0</v>
      </c>
      <c r="DJ291" s="29">
        <f t="shared" si="1400"/>
        <v>1314153</v>
      </c>
      <c r="DK291" s="29">
        <f t="shared" si="1400"/>
        <v>0</v>
      </c>
      <c r="DL291" s="29">
        <f t="shared" si="1400"/>
        <v>0</v>
      </c>
      <c r="DM291" s="29">
        <f t="shared" si="1400"/>
        <v>0</v>
      </c>
      <c r="DN291" s="29">
        <f t="shared" si="1400"/>
        <v>0</v>
      </c>
      <c r="DO291" s="29">
        <f t="shared" si="1400"/>
        <v>0</v>
      </c>
      <c r="DP291" s="29">
        <f t="shared" si="1400"/>
        <v>0</v>
      </c>
      <c r="DQ291" s="29">
        <f t="shared" si="1400"/>
        <v>0</v>
      </c>
      <c r="DR291" s="29">
        <f t="shared" si="1400"/>
        <v>0</v>
      </c>
      <c r="DS291" s="29">
        <f t="shared" si="1400"/>
        <v>0</v>
      </c>
      <c r="DT291" s="29">
        <f t="shared" si="1400"/>
        <v>0</v>
      </c>
      <c r="DU291" s="29">
        <f t="shared" si="1400"/>
        <v>0</v>
      </c>
      <c r="DV291" s="29">
        <f t="shared" si="1400"/>
        <v>0</v>
      </c>
      <c r="DW291" s="29">
        <f t="shared" si="1400"/>
        <v>0</v>
      </c>
      <c r="DX291" s="29">
        <f t="shared" si="1400"/>
        <v>0</v>
      </c>
      <c r="DY291" s="29">
        <f t="shared" si="1400"/>
        <v>0</v>
      </c>
      <c r="DZ291" s="108"/>
      <c r="EA291" s="105"/>
    </row>
    <row r="292" ht="21.75" customHeight="1">
      <c r="A292" s="64"/>
      <c r="B292" s="70" t="s">
        <v>40</v>
      </c>
      <c r="C292" s="71" t="s">
        <v>279</v>
      </c>
      <c r="D292" s="71" t="s">
        <v>41</v>
      </c>
      <c r="E292" s="71" t="s">
        <v>64</v>
      </c>
      <c r="F292" s="106" t="s">
        <v>280</v>
      </c>
      <c r="G292" s="73">
        <v>248653.0</v>
      </c>
      <c r="H292" s="73">
        <v>0.0</v>
      </c>
      <c r="I292" s="73">
        <v>248653.0</v>
      </c>
      <c r="J292" s="73">
        <f>K292+L292</f>
        <v>0</v>
      </c>
      <c r="K292" s="73">
        <v>0.0</v>
      </c>
      <c r="L292" s="73">
        <v>0.0</v>
      </c>
      <c r="M292" s="73">
        <f>N292+O292</f>
        <v>0</v>
      </c>
      <c r="N292" s="73">
        <v>0.0</v>
      </c>
      <c r="O292" s="73">
        <v>0.0</v>
      </c>
      <c r="P292" s="73">
        <f>Q292+R292</f>
        <v>0</v>
      </c>
      <c r="Q292" s="73">
        <v>0.0</v>
      </c>
      <c r="R292" s="73">
        <v>0.0</v>
      </c>
      <c r="S292" s="73">
        <f>T292+U292</f>
        <v>0</v>
      </c>
      <c r="T292" s="73">
        <v>0.0</v>
      </c>
      <c r="U292" s="73">
        <v>0.0</v>
      </c>
      <c r="V292" s="73">
        <v>0.0</v>
      </c>
      <c r="W292" s="73">
        <v>0.0</v>
      </c>
      <c r="X292" s="73">
        <v>0.0</v>
      </c>
      <c r="Y292" s="73">
        <v>0.0</v>
      </c>
      <c r="Z292" s="73">
        <v>0.0</v>
      </c>
      <c r="AA292" s="73">
        <v>0.0</v>
      </c>
      <c r="AB292" s="73">
        <f t="shared" ref="AB292:AG292" si="1401">J292+P292+V292</f>
        <v>0</v>
      </c>
      <c r="AC292" s="73">
        <f t="shared" si="1401"/>
        <v>0</v>
      </c>
      <c r="AD292" s="73">
        <f t="shared" si="1401"/>
        <v>0</v>
      </c>
      <c r="AE292" s="73">
        <f t="shared" si="1401"/>
        <v>0</v>
      </c>
      <c r="AF292" s="73">
        <f t="shared" si="1401"/>
        <v>0</v>
      </c>
      <c r="AG292" s="73">
        <f t="shared" si="1401"/>
        <v>0</v>
      </c>
      <c r="AH292" s="73">
        <v>0.0</v>
      </c>
      <c r="AI292" s="73">
        <v>0.0</v>
      </c>
      <c r="AJ292" s="73">
        <v>0.0</v>
      </c>
      <c r="AK292" s="73">
        <v>0.0</v>
      </c>
      <c r="AL292" s="73">
        <v>0.0</v>
      </c>
      <c r="AM292" s="73">
        <v>0.0</v>
      </c>
      <c r="AN292" s="73">
        <f t="shared" ref="AN292:AS292" si="1402">AB292+AH292</f>
        <v>0</v>
      </c>
      <c r="AO292" s="73">
        <f t="shared" si="1402"/>
        <v>0</v>
      </c>
      <c r="AP292" s="73">
        <f t="shared" si="1402"/>
        <v>0</v>
      </c>
      <c r="AQ292" s="73">
        <f t="shared" si="1402"/>
        <v>0</v>
      </c>
      <c r="AR292" s="73">
        <f t="shared" si="1402"/>
        <v>0</v>
      </c>
      <c r="AS292" s="73">
        <f t="shared" si="1402"/>
        <v>0</v>
      </c>
      <c r="AT292" s="73">
        <v>0.0</v>
      </c>
      <c r="AU292" s="73">
        <v>0.0</v>
      </c>
      <c r="AV292" s="73">
        <v>0.0</v>
      </c>
      <c r="AW292" s="73">
        <v>0.0</v>
      </c>
      <c r="AX292" s="73">
        <v>0.0</v>
      </c>
      <c r="AY292" s="73">
        <v>0.0</v>
      </c>
      <c r="AZ292" s="73">
        <f t="shared" ref="AZ292:BE292" si="1403">AN292+AT292</f>
        <v>0</v>
      </c>
      <c r="BA292" s="73">
        <f t="shared" si="1403"/>
        <v>0</v>
      </c>
      <c r="BB292" s="73">
        <f t="shared" si="1403"/>
        <v>0</v>
      </c>
      <c r="BC292" s="73">
        <f t="shared" si="1403"/>
        <v>0</v>
      </c>
      <c r="BD292" s="73">
        <f t="shared" si="1403"/>
        <v>0</v>
      </c>
      <c r="BE292" s="73">
        <f t="shared" si="1403"/>
        <v>0</v>
      </c>
      <c r="BF292" s="73">
        <v>22379.0</v>
      </c>
      <c r="BG292" s="73">
        <v>0.0</v>
      </c>
      <c r="BH292" s="73">
        <v>22379.0</v>
      </c>
      <c r="BI292" s="73">
        <v>0.0</v>
      </c>
      <c r="BJ292" s="73">
        <v>0.0</v>
      </c>
      <c r="BK292" s="73">
        <v>0.0</v>
      </c>
      <c r="BL292" s="73">
        <f t="shared" ref="BL292:BQ292" si="1404">AH292+AT292+BF292</f>
        <v>22379</v>
      </c>
      <c r="BM292" s="73">
        <f t="shared" si="1404"/>
        <v>0</v>
      </c>
      <c r="BN292" s="73">
        <f t="shared" si="1404"/>
        <v>22379</v>
      </c>
      <c r="BO292" s="73">
        <f t="shared" si="1404"/>
        <v>0</v>
      </c>
      <c r="BP292" s="73">
        <f t="shared" si="1404"/>
        <v>0</v>
      </c>
      <c r="BQ292" s="73">
        <f t="shared" si="1404"/>
        <v>0</v>
      </c>
      <c r="BR292" s="73">
        <v>3730.0</v>
      </c>
      <c r="BS292" s="73">
        <v>0.0</v>
      </c>
      <c r="BT292" s="73">
        <v>3730.0</v>
      </c>
      <c r="BU292" s="73">
        <v>0.0</v>
      </c>
      <c r="BV292" s="73">
        <v>0.0</v>
      </c>
      <c r="BW292" s="73">
        <v>0.0</v>
      </c>
      <c r="BX292" s="73">
        <v>11189.0</v>
      </c>
      <c r="BY292" s="73">
        <v>0.0</v>
      </c>
      <c r="BZ292" s="73">
        <v>11189.0</v>
      </c>
      <c r="CA292" s="73">
        <v>0.0</v>
      </c>
      <c r="CB292" s="73">
        <v>0.0</v>
      </c>
      <c r="CC292" s="73">
        <v>0.0</v>
      </c>
      <c r="CD292" s="73">
        <v>22379.0</v>
      </c>
      <c r="CE292" s="73">
        <v>0.0</v>
      </c>
      <c r="CF292" s="73">
        <v>22379.0</v>
      </c>
      <c r="CG292" s="73">
        <v>0.0</v>
      </c>
      <c r="CH292" s="73">
        <v>0.0</v>
      </c>
      <c r="CI292" s="73">
        <v>0.0</v>
      </c>
      <c r="CJ292" s="73">
        <f t="shared" ref="CJ292:CO292" si="1405">BR292+BX292+CD292</f>
        <v>37298</v>
      </c>
      <c r="CK292" s="73">
        <f t="shared" si="1405"/>
        <v>0</v>
      </c>
      <c r="CL292" s="73">
        <f t="shared" si="1405"/>
        <v>37298</v>
      </c>
      <c r="CM292" s="73">
        <f t="shared" si="1405"/>
        <v>0</v>
      </c>
      <c r="CN292" s="73">
        <f t="shared" si="1405"/>
        <v>0</v>
      </c>
      <c r="CO292" s="73">
        <f t="shared" si="1405"/>
        <v>0</v>
      </c>
      <c r="CP292" s="73">
        <v>36104.0</v>
      </c>
      <c r="CQ292" s="73">
        <v>0.0</v>
      </c>
      <c r="CR292" s="73">
        <v>36104.0</v>
      </c>
      <c r="CS292" s="73">
        <v>0.0</v>
      </c>
      <c r="CT292" s="73">
        <v>0.0</v>
      </c>
      <c r="CU292" s="73">
        <v>0.0</v>
      </c>
      <c r="CV292" s="73">
        <v>54157.0</v>
      </c>
      <c r="CW292" s="73">
        <v>0.0</v>
      </c>
      <c r="CX292" s="73">
        <v>54157.0</v>
      </c>
      <c r="CY292" s="73">
        <v>0.0</v>
      </c>
      <c r="CZ292" s="73">
        <v>0.0</v>
      </c>
      <c r="DA292" s="73">
        <v>0.0</v>
      </c>
      <c r="DB292" s="73">
        <v>90261.0</v>
      </c>
      <c r="DC292" s="73">
        <v>0.0</v>
      </c>
      <c r="DD292" s="73">
        <v>90261.0</v>
      </c>
      <c r="DE292" s="73">
        <v>0.0</v>
      </c>
      <c r="DF292" s="73">
        <v>0.0</v>
      </c>
      <c r="DG292" s="73">
        <v>0.0</v>
      </c>
      <c r="DH292" s="73">
        <f t="shared" ref="DH292:DM292" si="1406">CP292+CV292+DB292</f>
        <v>180522</v>
      </c>
      <c r="DI292" s="73">
        <f t="shared" si="1406"/>
        <v>0</v>
      </c>
      <c r="DJ292" s="73">
        <f t="shared" si="1406"/>
        <v>180522</v>
      </c>
      <c r="DK292" s="73">
        <f t="shared" si="1406"/>
        <v>0</v>
      </c>
      <c r="DL292" s="73">
        <f t="shared" si="1406"/>
        <v>0</v>
      </c>
      <c r="DM292" s="73">
        <f t="shared" si="1406"/>
        <v>0</v>
      </c>
      <c r="DN292" s="73"/>
      <c r="DO292" s="73"/>
      <c r="DP292" s="73"/>
      <c r="DQ292" s="73"/>
      <c r="DR292" s="73"/>
      <c r="DS292" s="73"/>
      <c r="DT292" s="73"/>
      <c r="DU292" s="74"/>
      <c r="DV292" s="74"/>
      <c r="DW292" s="72"/>
      <c r="DX292" s="72"/>
      <c r="DY292" s="72"/>
      <c r="DZ292" s="75" t="s">
        <v>281</v>
      </c>
      <c r="EA292" s="76" t="s">
        <v>282</v>
      </c>
    </row>
    <row r="293" ht="21.75" customHeight="1">
      <c r="A293" s="64"/>
      <c r="B293" s="70"/>
      <c r="C293" s="71"/>
      <c r="D293" s="71"/>
      <c r="E293" s="71"/>
      <c r="F293" s="81" t="s">
        <v>55</v>
      </c>
      <c r="G293" s="73"/>
      <c r="H293" s="73"/>
      <c r="I293" s="73"/>
      <c r="J293" s="73"/>
      <c r="K293" s="73"/>
      <c r="L293" s="73"/>
      <c r="M293" s="73"/>
      <c r="N293" s="73"/>
      <c r="O293" s="73"/>
      <c r="P293" s="73"/>
      <c r="Q293" s="73"/>
      <c r="R293" s="73"/>
      <c r="S293" s="73"/>
      <c r="T293" s="73"/>
      <c r="U293" s="73"/>
      <c r="V293" s="73"/>
      <c r="W293" s="73"/>
      <c r="X293" s="73"/>
      <c r="Y293" s="73"/>
      <c r="Z293" s="73"/>
      <c r="AA293" s="73"/>
      <c r="AB293" s="73"/>
      <c r="AC293" s="73"/>
      <c r="AD293" s="73"/>
      <c r="AE293" s="73">
        <f t="shared" ref="AE293:AG293" si="1407">M293+S293+Y293</f>
        <v>0</v>
      </c>
      <c r="AF293" s="73">
        <f t="shared" si="1407"/>
        <v>0</v>
      </c>
      <c r="AG293" s="73">
        <f t="shared" si="1407"/>
        <v>0</v>
      </c>
      <c r="AH293" s="73"/>
      <c r="AI293" s="73"/>
      <c r="AJ293" s="73"/>
      <c r="AK293" s="73"/>
      <c r="AL293" s="73"/>
      <c r="AM293" s="73"/>
      <c r="AN293" s="73"/>
      <c r="AO293" s="73"/>
      <c r="AP293" s="73"/>
      <c r="AQ293" s="73"/>
      <c r="AR293" s="73"/>
      <c r="AS293" s="73"/>
      <c r="AT293" s="73"/>
      <c r="AU293" s="73"/>
      <c r="AV293" s="73"/>
      <c r="AW293" s="73">
        <v>0.0</v>
      </c>
      <c r="AX293" s="73">
        <v>0.0</v>
      </c>
      <c r="AY293" s="73">
        <v>0.0</v>
      </c>
      <c r="AZ293" s="73"/>
      <c r="BA293" s="73"/>
      <c r="BB293" s="73"/>
      <c r="BC293" s="73">
        <f t="shared" ref="BC293:BE293" si="1408">AQ293+AW293</f>
        <v>0</v>
      </c>
      <c r="BD293" s="73">
        <f t="shared" si="1408"/>
        <v>0</v>
      </c>
      <c r="BE293" s="73">
        <f t="shared" si="1408"/>
        <v>0</v>
      </c>
      <c r="BF293" s="73"/>
      <c r="BG293" s="73"/>
      <c r="BH293" s="73"/>
      <c r="BI293" s="73"/>
      <c r="BJ293" s="73"/>
      <c r="BK293" s="73"/>
      <c r="BL293" s="73"/>
      <c r="BM293" s="73"/>
      <c r="BN293" s="73"/>
      <c r="BO293" s="73"/>
      <c r="BP293" s="73"/>
      <c r="BQ293" s="73"/>
      <c r="BR293" s="73"/>
      <c r="BS293" s="73"/>
      <c r="BT293" s="73"/>
      <c r="BU293" s="73"/>
      <c r="BV293" s="73"/>
      <c r="BW293" s="73"/>
      <c r="BX293" s="73"/>
      <c r="BY293" s="73"/>
      <c r="BZ293" s="73"/>
      <c r="CA293" s="73"/>
      <c r="CB293" s="73"/>
      <c r="CC293" s="73"/>
      <c r="CD293" s="73"/>
      <c r="CE293" s="73"/>
      <c r="CF293" s="73"/>
      <c r="CG293" s="73"/>
      <c r="CH293" s="73"/>
      <c r="CI293" s="73"/>
      <c r="CJ293" s="73"/>
      <c r="CK293" s="73"/>
      <c r="CL293" s="73"/>
      <c r="CM293" s="73"/>
      <c r="CN293" s="73"/>
      <c r="CO293" s="73"/>
      <c r="CP293" s="73"/>
      <c r="CQ293" s="73"/>
      <c r="CR293" s="73"/>
      <c r="CS293" s="73"/>
      <c r="CT293" s="73"/>
      <c r="CU293" s="73"/>
      <c r="CV293" s="73"/>
      <c r="CW293" s="73"/>
      <c r="CX293" s="73"/>
      <c r="CY293" s="73"/>
      <c r="CZ293" s="73"/>
      <c r="DA293" s="73"/>
      <c r="DB293" s="73"/>
      <c r="DC293" s="73"/>
      <c r="DD293" s="73"/>
      <c r="DE293" s="73"/>
      <c r="DF293" s="73"/>
      <c r="DG293" s="73"/>
      <c r="DH293" s="73"/>
      <c r="DI293" s="73"/>
      <c r="DJ293" s="73"/>
      <c r="DK293" s="73"/>
      <c r="DL293" s="73"/>
      <c r="DM293" s="73"/>
      <c r="DN293" s="73"/>
      <c r="DO293" s="73"/>
      <c r="DP293" s="73"/>
      <c r="DQ293" s="73"/>
      <c r="DR293" s="73"/>
      <c r="DS293" s="73"/>
      <c r="DT293" s="73"/>
      <c r="DU293" s="74"/>
      <c r="DV293" s="74"/>
      <c r="DW293" s="72"/>
      <c r="DX293" s="72"/>
      <c r="DY293" s="72"/>
      <c r="DZ293" s="75"/>
      <c r="EA293" s="76"/>
    </row>
    <row r="294" ht="21.75" customHeight="1">
      <c r="A294" s="64"/>
      <c r="B294" s="70" t="s">
        <v>40</v>
      </c>
      <c r="C294" s="71" t="s">
        <v>283</v>
      </c>
      <c r="D294" s="71" t="s">
        <v>41</v>
      </c>
      <c r="E294" s="71" t="s">
        <v>58</v>
      </c>
      <c r="F294" s="72" t="s">
        <v>284</v>
      </c>
      <c r="G294" s="73">
        <v>1492510.0</v>
      </c>
      <c r="H294" s="73">
        <v>7000.0</v>
      </c>
      <c r="I294" s="73">
        <v>1485510.0</v>
      </c>
      <c r="J294" s="73">
        <f>K294+L294</f>
        <v>0</v>
      </c>
      <c r="K294" s="73">
        <v>0.0</v>
      </c>
      <c r="L294" s="73">
        <v>0.0</v>
      </c>
      <c r="M294" s="73">
        <f>N294+O294</f>
        <v>0</v>
      </c>
      <c r="N294" s="73">
        <v>0.0</v>
      </c>
      <c r="O294" s="73">
        <v>0.0</v>
      </c>
      <c r="P294" s="73">
        <f>Q294+R294</f>
        <v>0</v>
      </c>
      <c r="Q294" s="73">
        <v>0.0</v>
      </c>
      <c r="R294" s="73">
        <v>0.0</v>
      </c>
      <c r="S294" s="73">
        <f>T294+U294</f>
        <v>0</v>
      </c>
      <c r="T294" s="73">
        <v>0.0</v>
      </c>
      <c r="U294" s="73">
        <v>0.0</v>
      </c>
      <c r="V294" s="73">
        <v>0.0</v>
      </c>
      <c r="W294" s="73">
        <v>0.0</v>
      </c>
      <c r="X294" s="73">
        <v>0.0</v>
      </c>
      <c r="Y294" s="73">
        <v>0.0</v>
      </c>
      <c r="Z294" s="73">
        <v>0.0</v>
      </c>
      <c r="AA294" s="73">
        <v>0.0</v>
      </c>
      <c r="AB294" s="73">
        <f t="shared" ref="AB294:AG294" si="1409">J294+P294+V294</f>
        <v>0</v>
      </c>
      <c r="AC294" s="73">
        <f t="shared" si="1409"/>
        <v>0</v>
      </c>
      <c r="AD294" s="73">
        <f t="shared" si="1409"/>
        <v>0</v>
      </c>
      <c r="AE294" s="73">
        <f t="shared" si="1409"/>
        <v>0</v>
      </c>
      <c r="AF294" s="73">
        <f t="shared" si="1409"/>
        <v>0</v>
      </c>
      <c r="AG294" s="73">
        <f t="shared" si="1409"/>
        <v>0</v>
      </c>
      <c r="AH294" s="73">
        <v>0.0</v>
      </c>
      <c r="AI294" s="73">
        <v>0.0</v>
      </c>
      <c r="AJ294" s="73">
        <v>0.0</v>
      </c>
      <c r="AK294" s="73">
        <f>AL294+AM294</f>
        <v>0</v>
      </c>
      <c r="AL294" s="73">
        <v>0.0</v>
      </c>
      <c r="AM294" s="73">
        <v>0.0</v>
      </c>
      <c r="AN294" s="73">
        <f t="shared" ref="AN294:AS294" si="1410">AB294+AH294</f>
        <v>0</v>
      </c>
      <c r="AO294" s="73">
        <f t="shared" si="1410"/>
        <v>0</v>
      </c>
      <c r="AP294" s="73">
        <f t="shared" si="1410"/>
        <v>0</v>
      </c>
      <c r="AQ294" s="73">
        <f t="shared" si="1410"/>
        <v>0</v>
      </c>
      <c r="AR294" s="73">
        <f t="shared" si="1410"/>
        <v>0</v>
      </c>
      <c r="AS294" s="73">
        <f t="shared" si="1410"/>
        <v>0</v>
      </c>
      <c r="AT294" s="73">
        <v>0.0</v>
      </c>
      <c r="AU294" s="73">
        <v>0.0</v>
      </c>
      <c r="AV294" s="73">
        <v>0.0</v>
      </c>
      <c r="AW294" s="73">
        <v>0.0</v>
      </c>
      <c r="AX294" s="73">
        <v>0.0</v>
      </c>
      <c r="AY294" s="73">
        <v>0.0</v>
      </c>
      <c r="AZ294" s="73">
        <f t="shared" ref="AZ294:BE294" si="1411">AN294+AT294</f>
        <v>0</v>
      </c>
      <c r="BA294" s="73">
        <f t="shared" si="1411"/>
        <v>0</v>
      </c>
      <c r="BB294" s="73">
        <f t="shared" si="1411"/>
        <v>0</v>
      </c>
      <c r="BC294" s="73">
        <f t="shared" si="1411"/>
        <v>0</v>
      </c>
      <c r="BD294" s="73">
        <f t="shared" si="1411"/>
        <v>0</v>
      </c>
      <c r="BE294" s="73">
        <f t="shared" si="1411"/>
        <v>0</v>
      </c>
      <c r="BF294" s="73">
        <v>39460.0</v>
      </c>
      <c r="BG294" s="73">
        <v>0.0</v>
      </c>
      <c r="BH294" s="73">
        <v>39460.0</v>
      </c>
      <c r="BI294" s="73">
        <v>0.0</v>
      </c>
      <c r="BJ294" s="73">
        <v>0.0</v>
      </c>
      <c r="BK294" s="73">
        <v>0.0</v>
      </c>
      <c r="BL294" s="73">
        <f t="shared" ref="BL294:BQ294" si="1412">AH294+AT294+BF294</f>
        <v>39460</v>
      </c>
      <c r="BM294" s="73">
        <f t="shared" si="1412"/>
        <v>0</v>
      </c>
      <c r="BN294" s="73">
        <f t="shared" si="1412"/>
        <v>39460</v>
      </c>
      <c r="BO294" s="73">
        <f t="shared" si="1412"/>
        <v>0</v>
      </c>
      <c r="BP294" s="73">
        <f t="shared" si="1412"/>
        <v>0</v>
      </c>
      <c r="BQ294" s="73">
        <f t="shared" si="1412"/>
        <v>0</v>
      </c>
      <c r="BR294" s="73">
        <v>6576.0</v>
      </c>
      <c r="BS294" s="73">
        <v>0.0</v>
      </c>
      <c r="BT294" s="73">
        <v>6576.0</v>
      </c>
      <c r="BU294" s="73">
        <v>0.0</v>
      </c>
      <c r="BV294" s="73">
        <v>0.0</v>
      </c>
      <c r="BW294" s="73">
        <v>0.0</v>
      </c>
      <c r="BX294" s="73">
        <v>19730.0</v>
      </c>
      <c r="BY294" s="73">
        <v>0.0</v>
      </c>
      <c r="BZ294" s="73">
        <v>19730.0</v>
      </c>
      <c r="CA294" s="73">
        <v>0.0</v>
      </c>
      <c r="CB294" s="73">
        <v>0.0</v>
      </c>
      <c r="CC294" s="73">
        <v>0.0</v>
      </c>
      <c r="CD294" s="73">
        <v>39460.0</v>
      </c>
      <c r="CE294" s="73">
        <v>0.0</v>
      </c>
      <c r="CF294" s="73">
        <v>39460.0</v>
      </c>
      <c r="CG294" s="73">
        <v>0.0</v>
      </c>
      <c r="CH294" s="73">
        <v>0.0</v>
      </c>
      <c r="CI294" s="73">
        <v>0.0</v>
      </c>
      <c r="CJ294" s="73">
        <f t="shared" ref="CJ294:CO294" si="1413">BR294+BX294+CD294</f>
        <v>65766</v>
      </c>
      <c r="CK294" s="73">
        <f t="shared" si="1413"/>
        <v>0</v>
      </c>
      <c r="CL294" s="73">
        <f t="shared" si="1413"/>
        <v>65766</v>
      </c>
      <c r="CM294" s="73">
        <f t="shared" si="1413"/>
        <v>0</v>
      </c>
      <c r="CN294" s="73">
        <f t="shared" si="1413"/>
        <v>0</v>
      </c>
      <c r="CO294" s="73">
        <f t="shared" si="1413"/>
        <v>0</v>
      </c>
      <c r="CP294" s="73">
        <v>63662.0</v>
      </c>
      <c r="CQ294" s="73">
        <v>0.0</v>
      </c>
      <c r="CR294" s="73">
        <v>63662.0</v>
      </c>
      <c r="CS294" s="73">
        <v>0.0</v>
      </c>
      <c r="CT294" s="73">
        <v>0.0</v>
      </c>
      <c r="CU294" s="73">
        <v>0.0</v>
      </c>
      <c r="CV294" s="73">
        <v>95493.0</v>
      </c>
      <c r="CW294" s="73">
        <v>0.0</v>
      </c>
      <c r="CX294" s="73">
        <v>95493.0</v>
      </c>
      <c r="CY294" s="73">
        <v>0.0</v>
      </c>
      <c r="CZ294" s="73">
        <v>0.0</v>
      </c>
      <c r="DA294" s="73">
        <v>0.0</v>
      </c>
      <c r="DB294" s="73">
        <v>159155.0</v>
      </c>
      <c r="DC294" s="73">
        <v>0.0</v>
      </c>
      <c r="DD294" s="73">
        <v>159155.0</v>
      </c>
      <c r="DE294" s="73">
        <v>0.0</v>
      </c>
      <c r="DF294" s="73">
        <v>0.0</v>
      </c>
      <c r="DG294" s="73">
        <v>0.0</v>
      </c>
      <c r="DH294" s="73">
        <f t="shared" ref="DH294:DM294" si="1414">CP294+CV294+DB294</f>
        <v>318310</v>
      </c>
      <c r="DI294" s="73">
        <f t="shared" si="1414"/>
        <v>0</v>
      </c>
      <c r="DJ294" s="73">
        <f t="shared" si="1414"/>
        <v>318310</v>
      </c>
      <c r="DK294" s="73">
        <f t="shared" si="1414"/>
        <v>0</v>
      </c>
      <c r="DL294" s="73">
        <f t="shared" si="1414"/>
        <v>0</v>
      </c>
      <c r="DM294" s="73">
        <f t="shared" si="1414"/>
        <v>0</v>
      </c>
      <c r="DN294" s="73"/>
      <c r="DO294" s="73"/>
      <c r="DP294" s="73"/>
      <c r="DQ294" s="73"/>
      <c r="DR294" s="73"/>
      <c r="DS294" s="73"/>
      <c r="DT294" s="73"/>
      <c r="DU294" s="74"/>
      <c r="DV294" s="74"/>
      <c r="DW294" s="72"/>
      <c r="DX294" s="72"/>
      <c r="DY294" s="72"/>
      <c r="DZ294" s="75" t="s">
        <v>285</v>
      </c>
      <c r="EA294" s="76" t="s">
        <v>286</v>
      </c>
    </row>
    <row r="295" ht="21.75" customHeight="1">
      <c r="A295" s="64"/>
      <c r="B295" s="70"/>
      <c r="C295" s="71"/>
      <c r="D295" s="71"/>
      <c r="E295" s="71"/>
      <c r="F295" s="81" t="s">
        <v>55</v>
      </c>
      <c r="G295" s="73"/>
      <c r="H295" s="73"/>
      <c r="I295" s="73"/>
      <c r="J295" s="73"/>
      <c r="K295" s="73"/>
      <c r="L295" s="73"/>
      <c r="M295" s="73"/>
      <c r="N295" s="73"/>
      <c r="O295" s="73"/>
      <c r="P295" s="73"/>
      <c r="Q295" s="73"/>
      <c r="R295" s="73"/>
      <c r="S295" s="73"/>
      <c r="T295" s="73"/>
      <c r="U295" s="73"/>
      <c r="V295" s="73"/>
      <c r="W295" s="73"/>
      <c r="X295" s="73"/>
      <c r="Y295" s="73"/>
      <c r="Z295" s="73"/>
      <c r="AA295" s="73"/>
      <c r="AB295" s="73"/>
      <c r="AC295" s="73"/>
      <c r="AD295" s="73"/>
      <c r="AE295" s="73">
        <f t="shared" ref="AE295:AG295" si="1415">M295+S295+Y295</f>
        <v>0</v>
      </c>
      <c r="AF295" s="73">
        <f t="shared" si="1415"/>
        <v>0</v>
      </c>
      <c r="AG295" s="73">
        <f t="shared" si="1415"/>
        <v>0</v>
      </c>
      <c r="AH295" s="73"/>
      <c r="AI295" s="73"/>
      <c r="AJ295" s="73"/>
      <c r="AK295" s="73"/>
      <c r="AL295" s="73"/>
      <c r="AM295" s="73"/>
      <c r="AN295" s="73"/>
      <c r="AO295" s="73"/>
      <c r="AP295" s="73"/>
      <c r="AQ295" s="73"/>
      <c r="AR295" s="73"/>
      <c r="AS295" s="73"/>
      <c r="AT295" s="73"/>
      <c r="AU295" s="73"/>
      <c r="AV295" s="73"/>
      <c r="AW295" s="73">
        <v>0.0</v>
      </c>
      <c r="AX295" s="73">
        <v>0.0</v>
      </c>
      <c r="AY295" s="73">
        <v>0.0</v>
      </c>
      <c r="AZ295" s="73"/>
      <c r="BA295" s="73"/>
      <c r="BB295" s="73"/>
      <c r="BC295" s="73">
        <f t="shared" ref="BC295:BE295" si="1416">AQ295+AW295</f>
        <v>0</v>
      </c>
      <c r="BD295" s="73">
        <f t="shared" si="1416"/>
        <v>0</v>
      </c>
      <c r="BE295" s="73">
        <f t="shared" si="1416"/>
        <v>0</v>
      </c>
      <c r="BF295" s="73"/>
      <c r="BG295" s="73"/>
      <c r="BH295" s="73"/>
      <c r="BI295" s="73"/>
      <c r="BJ295" s="73"/>
      <c r="BK295" s="73"/>
      <c r="BL295" s="73"/>
      <c r="BM295" s="73"/>
      <c r="BN295" s="73"/>
      <c r="BO295" s="73"/>
      <c r="BP295" s="73"/>
      <c r="BQ295" s="73"/>
      <c r="BR295" s="73"/>
      <c r="BS295" s="73"/>
      <c r="BT295" s="73"/>
      <c r="BU295" s="73"/>
      <c r="BV295" s="73"/>
      <c r="BW295" s="73"/>
      <c r="BX295" s="73"/>
      <c r="BY295" s="73"/>
      <c r="BZ295" s="73"/>
      <c r="CA295" s="73"/>
      <c r="CB295" s="73"/>
      <c r="CC295" s="73"/>
      <c r="CD295" s="73"/>
      <c r="CE295" s="73"/>
      <c r="CF295" s="73"/>
      <c r="CG295" s="73"/>
      <c r="CH295" s="73"/>
      <c r="CI295" s="73"/>
      <c r="CJ295" s="73"/>
      <c r="CK295" s="73"/>
      <c r="CL295" s="73"/>
      <c r="CM295" s="73"/>
      <c r="CN295" s="73"/>
      <c r="CO295" s="73"/>
      <c r="CP295" s="73"/>
      <c r="CQ295" s="73"/>
      <c r="CR295" s="73"/>
      <c r="CS295" s="73"/>
      <c r="CT295" s="73"/>
      <c r="CU295" s="73"/>
      <c r="CV295" s="73"/>
      <c r="CW295" s="73"/>
      <c r="CX295" s="73"/>
      <c r="CY295" s="73"/>
      <c r="CZ295" s="73"/>
      <c r="DA295" s="73"/>
      <c r="DB295" s="73"/>
      <c r="DC295" s="73"/>
      <c r="DD295" s="73"/>
      <c r="DE295" s="73"/>
      <c r="DF295" s="73"/>
      <c r="DG295" s="73"/>
      <c r="DH295" s="73"/>
      <c r="DI295" s="73"/>
      <c r="DJ295" s="73"/>
      <c r="DK295" s="73"/>
      <c r="DL295" s="73"/>
      <c r="DM295" s="73"/>
      <c r="DN295" s="73"/>
      <c r="DO295" s="73"/>
      <c r="DP295" s="73"/>
      <c r="DQ295" s="73"/>
      <c r="DR295" s="73"/>
      <c r="DS295" s="73"/>
      <c r="DT295" s="73"/>
      <c r="DU295" s="74"/>
      <c r="DV295" s="74"/>
      <c r="DW295" s="72"/>
      <c r="DX295" s="72"/>
      <c r="DY295" s="72"/>
      <c r="DZ295" s="75"/>
      <c r="EA295" s="76"/>
    </row>
    <row r="296" ht="21.75" customHeight="1">
      <c r="A296" s="64"/>
      <c r="B296" s="70" t="s">
        <v>40</v>
      </c>
      <c r="C296" s="71" t="s">
        <v>287</v>
      </c>
      <c r="D296" s="71" t="s">
        <v>41</v>
      </c>
      <c r="E296" s="71" t="s">
        <v>58</v>
      </c>
      <c r="F296" s="72" t="s">
        <v>288</v>
      </c>
      <c r="G296" s="73">
        <v>1182276.0</v>
      </c>
      <c r="H296" s="73">
        <v>0.0</v>
      </c>
      <c r="I296" s="73">
        <v>1182276.0</v>
      </c>
      <c r="J296" s="73">
        <f>K296+L296</f>
        <v>0</v>
      </c>
      <c r="K296" s="73">
        <v>0.0</v>
      </c>
      <c r="L296" s="73">
        <v>0.0</v>
      </c>
      <c r="M296" s="73">
        <f>N296+O296</f>
        <v>0</v>
      </c>
      <c r="N296" s="73">
        <v>0.0</v>
      </c>
      <c r="O296" s="73">
        <v>0.0</v>
      </c>
      <c r="P296" s="73">
        <f>Q296+R296</f>
        <v>0</v>
      </c>
      <c r="Q296" s="73">
        <v>0.0</v>
      </c>
      <c r="R296" s="73">
        <v>0.0</v>
      </c>
      <c r="S296" s="73">
        <f>T296+U296</f>
        <v>0</v>
      </c>
      <c r="T296" s="73">
        <v>0.0</v>
      </c>
      <c r="U296" s="73">
        <v>0.0</v>
      </c>
      <c r="V296" s="73">
        <v>0.0</v>
      </c>
      <c r="W296" s="73">
        <v>0.0</v>
      </c>
      <c r="X296" s="73">
        <v>0.0</v>
      </c>
      <c r="Y296" s="73">
        <v>0.0</v>
      </c>
      <c r="Z296" s="73">
        <v>0.0</v>
      </c>
      <c r="AA296" s="73">
        <v>0.0</v>
      </c>
      <c r="AB296" s="73">
        <f t="shared" ref="AB296:AG296" si="1417">J296+P296+V296</f>
        <v>0</v>
      </c>
      <c r="AC296" s="73">
        <f t="shared" si="1417"/>
        <v>0</v>
      </c>
      <c r="AD296" s="73">
        <f t="shared" si="1417"/>
        <v>0</v>
      </c>
      <c r="AE296" s="73">
        <f t="shared" si="1417"/>
        <v>0</v>
      </c>
      <c r="AF296" s="73">
        <f t="shared" si="1417"/>
        <v>0</v>
      </c>
      <c r="AG296" s="73">
        <f t="shared" si="1417"/>
        <v>0</v>
      </c>
      <c r="AH296" s="73">
        <v>0.0</v>
      </c>
      <c r="AI296" s="73">
        <v>0.0</v>
      </c>
      <c r="AJ296" s="73">
        <v>0.0</v>
      </c>
      <c r="AK296" s="73">
        <v>0.0</v>
      </c>
      <c r="AL296" s="73">
        <v>0.0</v>
      </c>
      <c r="AM296" s="73">
        <v>0.0</v>
      </c>
      <c r="AN296" s="73">
        <f t="shared" ref="AN296:AS296" si="1418">AB296+AH296</f>
        <v>0</v>
      </c>
      <c r="AO296" s="73">
        <f t="shared" si="1418"/>
        <v>0</v>
      </c>
      <c r="AP296" s="73">
        <f t="shared" si="1418"/>
        <v>0</v>
      </c>
      <c r="AQ296" s="73">
        <f t="shared" si="1418"/>
        <v>0</v>
      </c>
      <c r="AR296" s="73">
        <f t="shared" si="1418"/>
        <v>0</v>
      </c>
      <c r="AS296" s="73">
        <f t="shared" si="1418"/>
        <v>0</v>
      </c>
      <c r="AT296" s="73">
        <v>0.0</v>
      </c>
      <c r="AU296" s="73">
        <v>0.0</v>
      </c>
      <c r="AV296" s="73">
        <v>0.0</v>
      </c>
      <c r="AW296" s="73">
        <v>0.0</v>
      </c>
      <c r="AX296" s="73">
        <v>0.0</v>
      </c>
      <c r="AY296" s="73">
        <v>0.0</v>
      </c>
      <c r="AZ296" s="73">
        <f t="shared" ref="AZ296:BE296" si="1419">AN296+AT296</f>
        <v>0</v>
      </c>
      <c r="BA296" s="73">
        <f t="shared" si="1419"/>
        <v>0</v>
      </c>
      <c r="BB296" s="73">
        <f t="shared" si="1419"/>
        <v>0</v>
      </c>
      <c r="BC296" s="73">
        <f t="shared" si="1419"/>
        <v>0</v>
      </c>
      <c r="BD296" s="73">
        <f t="shared" si="1419"/>
        <v>0</v>
      </c>
      <c r="BE296" s="73">
        <f t="shared" si="1419"/>
        <v>0</v>
      </c>
      <c r="BF296" s="73">
        <v>101073.0</v>
      </c>
      <c r="BG296" s="73">
        <v>0.0</v>
      </c>
      <c r="BH296" s="73">
        <v>101073.0</v>
      </c>
      <c r="BI296" s="73">
        <v>0.0</v>
      </c>
      <c r="BJ296" s="73">
        <v>0.0</v>
      </c>
      <c r="BK296" s="73">
        <v>0.0</v>
      </c>
      <c r="BL296" s="73">
        <f t="shared" ref="BL296:BQ296" si="1420">AH296+AT296+BF296</f>
        <v>101073</v>
      </c>
      <c r="BM296" s="73">
        <f t="shared" si="1420"/>
        <v>0</v>
      </c>
      <c r="BN296" s="73">
        <f t="shared" si="1420"/>
        <v>101073</v>
      </c>
      <c r="BO296" s="73">
        <f t="shared" si="1420"/>
        <v>0</v>
      </c>
      <c r="BP296" s="73">
        <f t="shared" si="1420"/>
        <v>0</v>
      </c>
      <c r="BQ296" s="73">
        <f t="shared" si="1420"/>
        <v>0</v>
      </c>
      <c r="BR296" s="73">
        <v>16845.0</v>
      </c>
      <c r="BS296" s="73">
        <v>0.0</v>
      </c>
      <c r="BT296" s="73">
        <v>16845.0</v>
      </c>
      <c r="BU296" s="73">
        <v>0.0</v>
      </c>
      <c r="BV296" s="73">
        <v>0.0</v>
      </c>
      <c r="BW296" s="73">
        <v>0.0</v>
      </c>
      <c r="BX296" s="73">
        <v>50537.0</v>
      </c>
      <c r="BY296" s="73">
        <v>0.0</v>
      </c>
      <c r="BZ296" s="73">
        <v>50537.0</v>
      </c>
      <c r="CA296" s="73">
        <v>0.0</v>
      </c>
      <c r="CB296" s="73">
        <v>0.0</v>
      </c>
      <c r="CC296" s="73">
        <v>0.0</v>
      </c>
      <c r="CD296" s="73">
        <v>101073.0</v>
      </c>
      <c r="CE296" s="73">
        <v>0.0</v>
      </c>
      <c r="CF296" s="73">
        <v>101073.0</v>
      </c>
      <c r="CG296" s="73">
        <v>0.0</v>
      </c>
      <c r="CH296" s="73">
        <v>0.0</v>
      </c>
      <c r="CI296" s="73">
        <v>0.0</v>
      </c>
      <c r="CJ296" s="73">
        <f t="shared" ref="CJ296:CO296" si="1421">BR296+BX296+CD296</f>
        <v>168455</v>
      </c>
      <c r="CK296" s="73">
        <f t="shared" si="1421"/>
        <v>0</v>
      </c>
      <c r="CL296" s="73">
        <f t="shared" si="1421"/>
        <v>168455</v>
      </c>
      <c r="CM296" s="73">
        <f t="shared" si="1421"/>
        <v>0</v>
      </c>
      <c r="CN296" s="73">
        <f t="shared" si="1421"/>
        <v>0</v>
      </c>
      <c r="CO296" s="73">
        <f t="shared" si="1421"/>
        <v>0</v>
      </c>
      <c r="CP296" s="73">
        <v>163064.0</v>
      </c>
      <c r="CQ296" s="73">
        <v>0.0</v>
      </c>
      <c r="CR296" s="73">
        <v>163064.0</v>
      </c>
      <c r="CS296" s="73">
        <v>0.0</v>
      </c>
      <c r="CT296" s="73">
        <v>0.0</v>
      </c>
      <c r="CU296" s="73">
        <v>0.0</v>
      </c>
      <c r="CV296" s="73">
        <v>244596.0</v>
      </c>
      <c r="CW296" s="73">
        <v>0.0</v>
      </c>
      <c r="CX296" s="73">
        <v>244596.0</v>
      </c>
      <c r="CY296" s="73">
        <v>0.0</v>
      </c>
      <c r="CZ296" s="73">
        <v>0.0</v>
      </c>
      <c r="DA296" s="73">
        <v>0.0</v>
      </c>
      <c r="DB296" s="73">
        <v>407661.0</v>
      </c>
      <c r="DC296" s="73">
        <v>0.0</v>
      </c>
      <c r="DD296" s="73">
        <v>407661.0</v>
      </c>
      <c r="DE296" s="73">
        <v>0.0</v>
      </c>
      <c r="DF296" s="73">
        <v>0.0</v>
      </c>
      <c r="DG296" s="73">
        <v>0.0</v>
      </c>
      <c r="DH296" s="73">
        <f t="shared" ref="DH296:DM296" si="1422">CP296+CV296+DB296</f>
        <v>815321</v>
      </c>
      <c r="DI296" s="73">
        <f t="shared" si="1422"/>
        <v>0</v>
      </c>
      <c r="DJ296" s="73">
        <f t="shared" si="1422"/>
        <v>815321</v>
      </c>
      <c r="DK296" s="73">
        <f t="shared" si="1422"/>
        <v>0</v>
      </c>
      <c r="DL296" s="73">
        <f t="shared" si="1422"/>
        <v>0</v>
      </c>
      <c r="DM296" s="73">
        <f t="shared" si="1422"/>
        <v>0</v>
      </c>
      <c r="DN296" s="73"/>
      <c r="DO296" s="73"/>
      <c r="DP296" s="73"/>
      <c r="DQ296" s="73"/>
      <c r="DR296" s="73"/>
      <c r="DS296" s="73"/>
      <c r="DT296" s="73"/>
      <c r="DU296" s="74"/>
      <c r="DV296" s="74"/>
      <c r="DW296" s="72"/>
      <c r="DX296" s="72"/>
      <c r="DY296" s="72"/>
      <c r="DZ296" s="75"/>
      <c r="EA296" s="76" t="s">
        <v>289</v>
      </c>
    </row>
    <row r="297" ht="21.75" customHeight="1">
      <c r="A297" s="64"/>
      <c r="B297" s="70"/>
      <c r="C297" s="71"/>
      <c r="D297" s="71"/>
      <c r="E297" s="71"/>
      <c r="F297" s="81" t="s">
        <v>55</v>
      </c>
      <c r="G297" s="73"/>
      <c r="H297" s="73"/>
      <c r="I297" s="73"/>
      <c r="J297" s="73"/>
      <c r="K297" s="73"/>
      <c r="L297" s="73"/>
      <c r="M297" s="73"/>
      <c r="N297" s="73"/>
      <c r="O297" s="73"/>
      <c r="P297" s="73"/>
      <c r="Q297" s="73"/>
      <c r="R297" s="73"/>
      <c r="S297" s="73"/>
      <c r="T297" s="73"/>
      <c r="U297" s="73"/>
      <c r="V297" s="73"/>
      <c r="W297" s="73"/>
      <c r="X297" s="73"/>
      <c r="Y297" s="73"/>
      <c r="Z297" s="73"/>
      <c r="AA297" s="73"/>
      <c r="AB297" s="73"/>
      <c r="AC297" s="73"/>
      <c r="AD297" s="73"/>
      <c r="AE297" s="73">
        <f t="shared" ref="AE297:AG297" si="1423">M297+S297+Y297</f>
        <v>0</v>
      </c>
      <c r="AF297" s="73">
        <f t="shared" si="1423"/>
        <v>0</v>
      </c>
      <c r="AG297" s="73">
        <f t="shared" si="1423"/>
        <v>0</v>
      </c>
      <c r="AH297" s="73"/>
      <c r="AI297" s="73"/>
      <c r="AJ297" s="73"/>
      <c r="AK297" s="73"/>
      <c r="AL297" s="73"/>
      <c r="AM297" s="73"/>
      <c r="AN297" s="73"/>
      <c r="AO297" s="73"/>
      <c r="AP297" s="73"/>
      <c r="AQ297" s="73"/>
      <c r="AR297" s="73"/>
      <c r="AS297" s="73"/>
      <c r="AT297" s="73"/>
      <c r="AU297" s="73"/>
      <c r="AV297" s="73"/>
      <c r="AW297" s="73">
        <v>0.0</v>
      </c>
      <c r="AX297" s="73">
        <v>0.0</v>
      </c>
      <c r="AY297" s="73">
        <v>0.0</v>
      </c>
      <c r="AZ297" s="73"/>
      <c r="BA297" s="73"/>
      <c r="BB297" s="73"/>
      <c r="BC297" s="73">
        <f t="shared" ref="BC297:BE297" si="1424">AQ297+AW297</f>
        <v>0</v>
      </c>
      <c r="BD297" s="73">
        <f t="shared" si="1424"/>
        <v>0</v>
      </c>
      <c r="BE297" s="73">
        <f t="shared" si="1424"/>
        <v>0</v>
      </c>
      <c r="BF297" s="73"/>
      <c r="BG297" s="73"/>
      <c r="BH297" s="73"/>
      <c r="BI297" s="73"/>
      <c r="BJ297" s="73"/>
      <c r="BK297" s="73"/>
      <c r="BL297" s="73"/>
      <c r="BM297" s="73"/>
      <c r="BN297" s="73"/>
      <c r="BO297" s="73"/>
      <c r="BP297" s="73"/>
      <c r="BQ297" s="73"/>
      <c r="BR297" s="73"/>
      <c r="BS297" s="73"/>
      <c r="BT297" s="73"/>
      <c r="BU297" s="73"/>
      <c r="BV297" s="73"/>
      <c r="BW297" s="73"/>
      <c r="BX297" s="73"/>
      <c r="BY297" s="73"/>
      <c r="BZ297" s="73"/>
      <c r="CA297" s="73"/>
      <c r="CB297" s="73"/>
      <c r="CC297" s="73"/>
      <c r="CD297" s="73"/>
      <c r="CE297" s="73"/>
      <c r="CF297" s="73"/>
      <c r="CG297" s="73"/>
      <c r="CH297" s="73"/>
      <c r="CI297" s="73"/>
      <c r="CJ297" s="73"/>
      <c r="CK297" s="73"/>
      <c r="CL297" s="73"/>
      <c r="CM297" s="73"/>
      <c r="CN297" s="73"/>
      <c r="CO297" s="73"/>
      <c r="CP297" s="73"/>
      <c r="CQ297" s="73"/>
      <c r="CR297" s="73"/>
      <c r="CS297" s="73"/>
      <c r="CT297" s="73"/>
      <c r="CU297" s="73"/>
      <c r="CV297" s="73"/>
      <c r="CW297" s="73"/>
      <c r="CX297" s="73"/>
      <c r="CY297" s="73"/>
      <c r="CZ297" s="73"/>
      <c r="DA297" s="73"/>
      <c r="DB297" s="73"/>
      <c r="DC297" s="73"/>
      <c r="DD297" s="73"/>
      <c r="DE297" s="73"/>
      <c r="DF297" s="73"/>
      <c r="DG297" s="73"/>
      <c r="DH297" s="73"/>
      <c r="DI297" s="73"/>
      <c r="DJ297" s="73"/>
      <c r="DK297" s="73"/>
      <c r="DL297" s="73"/>
      <c r="DM297" s="73"/>
      <c r="DN297" s="73"/>
      <c r="DO297" s="73"/>
      <c r="DP297" s="73"/>
      <c r="DQ297" s="73"/>
      <c r="DR297" s="73"/>
      <c r="DS297" s="73"/>
      <c r="DT297" s="73"/>
      <c r="DU297" s="74"/>
      <c r="DV297" s="74"/>
      <c r="DW297" s="72"/>
      <c r="DX297" s="72"/>
      <c r="DY297" s="72"/>
      <c r="DZ297" s="75"/>
      <c r="EA297" s="76"/>
    </row>
    <row r="298" ht="21.75" customHeight="1">
      <c r="A298" s="64"/>
      <c r="B298" s="70" t="s">
        <v>40</v>
      </c>
      <c r="C298" s="71" t="s">
        <v>290</v>
      </c>
      <c r="D298" s="71" t="s">
        <v>221</v>
      </c>
      <c r="E298" s="71" t="s">
        <v>291</v>
      </c>
      <c r="F298" s="72" t="s">
        <v>292</v>
      </c>
      <c r="G298" s="73">
        <v>145910.0</v>
      </c>
      <c r="H298" s="73">
        <v>145910.0</v>
      </c>
      <c r="I298" s="73">
        <v>0.0</v>
      </c>
      <c r="J298" s="73">
        <f>K298+L298</f>
        <v>0</v>
      </c>
      <c r="K298" s="73">
        <v>0.0</v>
      </c>
      <c r="L298" s="73">
        <v>0.0</v>
      </c>
      <c r="M298" s="73">
        <f>N298+O298</f>
        <v>0</v>
      </c>
      <c r="N298" s="73">
        <v>0.0</v>
      </c>
      <c r="O298" s="73">
        <v>0.0</v>
      </c>
      <c r="P298" s="73">
        <f>Q298+R298</f>
        <v>0</v>
      </c>
      <c r="Q298" s="73">
        <v>0.0</v>
      </c>
      <c r="R298" s="73">
        <v>0.0</v>
      </c>
      <c r="S298" s="73">
        <f>T298+U298</f>
        <v>145909.721</v>
      </c>
      <c r="T298" s="73">
        <v>145909.721</v>
      </c>
      <c r="U298" s="73">
        <v>0.0</v>
      </c>
      <c r="V298" s="73">
        <v>0.0</v>
      </c>
      <c r="W298" s="73">
        <v>0.0</v>
      </c>
      <c r="X298" s="73">
        <v>0.0</v>
      </c>
      <c r="Y298" s="73">
        <f>Z298+AA298</f>
        <v>0</v>
      </c>
      <c r="Z298" s="73">
        <v>0.0</v>
      </c>
      <c r="AA298" s="73">
        <v>0.0</v>
      </c>
      <c r="AB298" s="73">
        <f t="shared" ref="AB298:AG298" si="1425">J298+P298+V298</f>
        <v>0</v>
      </c>
      <c r="AC298" s="73">
        <f t="shared" si="1425"/>
        <v>0</v>
      </c>
      <c r="AD298" s="73">
        <f t="shared" si="1425"/>
        <v>0</v>
      </c>
      <c r="AE298" s="73">
        <f t="shared" si="1425"/>
        <v>145909.721</v>
      </c>
      <c r="AF298" s="73">
        <f t="shared" si="1425"/>
        <v>145909.721</v>
      </c>
      <c r="AG298" s="73">
        <f t="shared" si="1425"/>
        <v>0</v>
      </c>
      <c r="AH298" s="73">
        <v>0.0</v>
      </c>
      <c r="AI298" s="73">
        <v>0.0</v>
      </c>
      <c r="AJ298" s="73">
        <v>0.0</v>
      </c>
      <c r="AK298" s="73">
        <v>0.0</v>
      </c>
      <c r="AL298" s="73">
        <v>0.0</v>
      </c>
      <c r="AM298" s="73">
        <v>0.0</v>
      </c>
      <c r="AN298" s="73">
        <f t="shared" ref="AN298:AS298" si="1426">AB298+AH298</f>
        <v>0</v>
      </c>
      <c r="AO298" s="73">
        <f t="shared" si="1426"/>
        <v>0</v>
      </c>
      <c r="AP298" s="73">
        <f t="shared" si="1426"/>
        <v>0</v>
      </c>
      <c r="AQ298" s="73">
        <f t="shared" si="1426"/>
        <v>145909.721</v>
      </c>
      <c r="AR298" s="73">
        <f t="shared" si="1426"/>
        <v>145909.721</v>
      </c>
      <c r="AS298" s="73">
        <f t="shared" si="1426"/>
        <v>0</v>
      </c>
      <c r="AT298" s="73">
        <v>0.0</v>
      </c>
      <c r="AU298" s="73">
        <v>0.0</v>
      </c>
      <c r="AV298" s="73">
        <v>0.0</v>
      </c>
      <c r="AW298" s="73">
        <v>0.0</v>
      </c>
      <c r="AX298" s="73">
        <v>0.0</v>
      </c>
      <c r="AY298" s="73">
        <v>0.0</v>
      </c>
      <c r="AZ298" s="73">
        <f t="shared" ref="AZ298:BE298" si="1427">AN298+AT298</f>
        <v>0</v>
      </c>
      <c r="BA298" s="73">
        <f t="shared" si="1427"/>
        <v>0</v>
      </c>
      <c r="BB298" s="73">
        <f t="shared" si="1427"/>
        <v>0</v>
      </c>
      <c r="BC298" s="73">
        <f t="shared" si="1427"/>
        <v>145909.721</v>
      </c>
      <c r="BD298" s="73">
        <f t="shared" si="1427"/>
        <v>145909.721</v>
      </c>
      <c r="BE298" s="73">
        <f t="shared" si="1427"/>
        <v>0</v>
      </c>
      <c r="BF298" s="73"/>
      <c r="BG298" s="73"/>
      <c r="BH298" s="73"/>
      <c r="BI298" s="73"/>
      <c r="BJ298" s="73"/>
      <c r="BK298" s="73"/>
      <c r="BL298" s="73"/>
      <c r="BM298" s="73"/>
      <c r="BN298" s="73"/>
      <c r="BO298" s="73"/>
      <c r="BP298" s="73"/>
      <c r="BQ298" s="73"/>
      <c r="BR298" s="73">
        <v>0.0</v>
      </c>
      <c r="BS298" s="73">
        <v>0.0</v>
      </c>
      <c r="BT298" s="73">
        <v>0.0</v>
      </c>
      <c r="BU298" s="73">
        <v>0.0</v>
      </c>
      <c r="BV298" s="73">
        <v>0.0</v>
      </c>
      <c r="BW298" s="73">
        <v>0.0</v>
      </c>
      <c r="BX298" s="73">
        <v>0.0</v>
      </c>
      <c r="BY298" s="73">
        <v>0.0</v>
      </c>
      <c r="BZ298" s="73">
        <v>0.0</v>
      </c>
      <c r="CA298" s="73">
        <v>0.0</v>
      </c>
      <c r="CB298" s="73">
        <v>0.0</v>
      </c>
      <c r="CC298" s="73">
        <v>0.0</v>
      </c>
      <c r="CD298" s="73">
        <v>0.0</v>
      </c>
      <c r="CE298" s="73">
        <v>0.0</v>
      </c>
      <c r="CF298" s="73">
        <v>0.0</v>
      </c>
      <c r="CG298" s="73">
        <v>0.0</v>
      </c>
      <c r="CH298" s="73">
        <v>0.0</v>
      </c>
      <c r="CI298" s="73">
        <v>0.0</v>
      </c>
      <c r="CJ298" s="73">
        <f t="shared" ref="CJ298:CO298" si="1428">BR298+BX298+CD298</f>
        <v>0</v>
      </c>
      <c r="CK298" s="73">
        <f t="shared" si="1428"/>
        <v>0</v>
      </c>
      <c r="CL298" s="73">
        <f t="shared" si="1428"/>
        <v>0</v>
      </c>
      <c r="CM298" s="73">
        <f t="shared" si="1428"/>
        <v>0</v>
      </c>
      <c r="CN298" s="73">
        <f t="shared" si="1428"/>
        <v>0</v>
      </c>
      <c r="CO298" s="73">
        <f t="shared" si="1428"/>
        <v>0</v>
      </c>
      <c r="CP298" s="73">
        <v>0.0</v>
      </c>
      <c r="CQ298" s="73">
        <v>0.0</v>
      </c>
      <c r="CR298" s="73">
        <v>0.0</v>
      </c>
      <c r="CS298" s="73">
        <v>0.0</v>
      </c>
      <c r="CT298" s="73">
        <v>0.0</v>
      </c>
      <c r="CU298" s="73">
        <v>0.0</v>
      </c>
      <c r="CV298" s="73">
        <v>0.0</v>
      </c>
      <c r="CW298" s="73">
        <v>0.0</v>
      </c>
      <c r="CX298" s="73">
        <v>0.0</v>
      </c>
      <c r="CY298" s="73">
        <v>0.0</v>
      </c>
      <c r="CZ298" s="73">
        <v>0.0</v>
      </c>
      <c r="DA298" s="73">
        <v>0.0</v>
      </c>
      <c r="DB298" s="73">
        <v>0.0</v>
      </c>
      <c r="DC298" s="73">
        <v>0.0</v>
      </c>
      <c r="DD298" s="73">
        <v>0.0</v>
      </c>
      <c r="DE298" s="73">
        <v>0.0</v>
      </c>
      <c r="DF298" s="73">
        <v>0.0</v>
      </c>
      <c r="DG298" s="73">
        <v>0.0</v>
      </c>
      <c r="DH298" s="73">
        <f t="shared" ref="DH298:DM298" si="1429">CP298+CV298+DB298</f>
        <v>0</v>
      </c>
      <c r="DI298" s="73">
        <f t="shared" si="1429"/>
        <v>0</v>
      </c>
      <c r="DJ298" s="73">
        <f t="shared" si="1429"/>
        <v>0</v>
      </c>
      <c r="DK298" s="73">
        <f t="shared" si="1429"/>
        <v>0</v>
      </c>
      <c r="DL298" s="73">
        <f t="shared" si="1429"/>
        <v>0</v>
      </c>
      <c r="DM298" s="73">
        <f t="shared" si="1429"/>
        <v>0</v>
      </c>
      <c r="DN298" s="73"/>
      <c r="DO298" s="73"/>
      <c r="DP298" s="73"/>
      <c r="DQ298" s="73"/>
      <c r="DR298" s="73"/>
      <c r="DS298" s="73"/>
      <c r="DT298" s="73"/>
      <c r="DU298" s="74"/>
      <c r="DV298" s="74"/>
      <c r="DW298" s="72"/>
      <c r="DX298" s="72"/>
      <c r="DY298" s="72"/>
      <c r="DZ298" s="38"/>
      <c r="EA298" s="76"/>
    </row>
    <row r="299" ht="21.75" customHeight="1">
      <c r="A299" s="64"/>
      <c r="B299" s="116"/>
      <c r="C299" s="117"/>
      <c r="D299" s="117"/>
      <c r="E299" s="117"/>
      <c r="F299" s="118" t="s">
        <v>55</v>
      </c>
      <c r="G299" s="119"/>
      <c r="H299" s="119"/>
      <c r="I299" s="119"/>
      <c r="J299" s="119"/>
      <c r="K299" s="119"/>
      <c r="L299" s="119"/>
      <c r="M299" s="119"/>
      <c r="N299" s="119"/>
      <c r="O299" s="119"/>
      <c r="P299" s="119"/>
      <c r="Q299" s="119"/>
      <c r="R299" s="119"/>
      <c r="S299" s="119"/>
      <c r="T299" s="119"/>
      <c r="U299" s="119"/>
      <c r="V299" s="119"/>
      <c r="W299" s="119"/>
      <c r="X299" s="119"/>
      <c r="Y299" s="119"/>
      <c r="Z299" s="119"/>
      <c r="AA299" s="119"/>
      <c r="AB299" s="119"/>
      <c r="AC299" s="119"/>
      <c r="AD299" s="119"/>
      <c r="AE299" s="119">
        <f t="shared" ref="AE299:AG299" si="1430">M299+S299+Y299</f>
        <v>0</v>
      </c>
      <c r="AF299" s="119">
        <f t="shared" si="1430"/>
        <v>0</v>
      </c>
      <c r="AG299" s="119">
        <f t="shared" si="1430"/>
        <v>0</v>
      </c>
      <c r="AH299" s="119"/>
      <c r="AI299" s="119"/>
      <c r="AJ299" s="119"/>
      <c r="AK299" s="119">
        <v>4861.216</v>
      </c>
      <c r="AL299" s="119">
        <v>4861.216</v>
      </c>
      <c r="AM299" s="119">
        <v>0.0</v>
      </c>
      <c r="AN299" s="119"/>
      <c r="AO299" s="119"/>
      <c r="AP299" s="119"/>
      <c r="AQ299" s="119">
        <f t="shared" ref="AQ299:AS299" si="1431">AE299+AK299</f>
        <v>4861.216</v>
      </c>
      <c r="AR299" s="119">
        <f t="shared" si="1431"/>
        <v>4861.216</v>
      </c>
      <c r="AS299" s="119">
        <f t="shared" si="1431"/>
        <v>0</v>
      </c>
      <c r="AT299" s="119"/>
      <c r="AU299" s="119"/>
      <c r="AV299" s="119"/>
      <c r="AW299" s="119">
        <v>434.30047</v>
      </c>
      <c r="AX299" s="119">
        <v>434.30047</v>
      </c>
      <c r="AY299" s="119">
        <v>0.0</v>
      </c>
      <c r="AZ299" s="119"/>
      <c r="BA299" s="119"/>
      <c r="BB299" s="119"/>
      <c r="BC299" s="119">
        <f t="shared" ref="BC299:BE299" si="1432">AQ299+AW299</f>
        <v>5295.51647</v>
      </c>
      <c r="BD299" s="119">
        <f t="shared" si="1432"/>
        <v>5295.51647</v>
      </c>
      <c r="BE299" s="119">
        <f t="shared" si="1432"/>
        <v>0</v>
      </c>
      <c r="BF299" s="119"/>
      <c r="BG299" s="119"/>
      <c r="BH299" s="119"/>
      <c r="BI299" s="119"/>
      <c r="BJ299" s="119"/>
      <c r="BK299" s="119"/>
      <c r="BL299" s="119"/>
      <c r="BM299" s="119"/>
      <c r="BN299" s="119"/>
      <c r="BO299" s="119"/>
      <c r="BP299" s="119"/>
      <c r="BQ299" s="119"/>
      <c r="BR299" s="119"/>
      <c r="BS299" s="119"/>
      <c r="BT299" s="119"/>
      <c r="BU299" s="119"/>
      <c r="BV299" s="119"/>
      <c r="BW299" s="119"/>
      <c r="BX299" s="119"/>
      <c r="BY299" s="119"/>
      <c r="BZ299" s="119"/>
      <c r="CA299" s="119"/>
      <c r="CB299" s="119"/>
      <c r="CC299" s="119"/>
      <c r="CD299" s="119"/>
      <c r="CE299" s="119"/>
      <c r="CF299" s="119"/>
      <c r="CG299" s="119"/>
      <c r="CH299" s="119"/>
      <c r="CI299" s="119"/>
      <c r="CJ299" s="119"/>
      <c r="CK299" s="119"/>
      <c r="CL299" s="119"/>
      <c r="CM299" s="119"/>
      <c r="CN299" s="119"/>
      <c r="CO299" s="119"/>
      <c r="CP299" s="119"/>
      <c r="CQ299" s="119"/>
      <c r="CR299" s="119"/>
      <c r="CS299" s="119"/>
      <c r="CT299" s="119"/>
      <c r="CU299" s="119"/>
      <c r="CV299" s="119"/>
      <c r="CW299" s="119"/>
      <c r="CX299" s="119"/>
      <c r="CY299" s="119"/>
      <c r="CZ299" s="119"/>
      <c r="DA299" s="119"/>
      <c r="DB299" s="119"/>
      <c r="DC299" s="119"/>
      <c r="DD299" s="119"/>
      <c r="DE299" s="119"/>
      <c r="DF299" s="119"/>
      <c r="DG299" s="119"/>
      <c r="DH299" s="119"/>
      <c r="DI299" s="119"/>
      <c r="DJ299" s="119"/>
      <c r="DK299" s="119"/>
      <c r="DL299" s="119"/>
      <c r="DM299" s="119"/>
      <c r="DN299" s="119"/>
      <c r="DO299" s="119"/>
      <c r="DP299" s="119"/>
      <c r="DQ299" s="119"/>
      <c r="DR299" s="119"/>
      <c r="DS299" s="119"/>
      <c r="DT299" s="119"/>
      <c r="DU299" s="120"/>
      <c r="DV299" s="120"/>
      <c r="DW299" s="121"/>
      <c r="DX299" s="121"/>
      <c r="DY299" s="121"/>
      <c r="DZ299" s="121" t="s">
        <v>293</v>
      </c>
      <c r="EA299" s="122"/>
    </row>
  </sheetData>
  <autoFilter ref="$B$3:$EA$298"/>
  <mergeCells count="65">
    <mergeCell ref="CP4:CR4"/>
    <mergeCell ref="CS4:CU4"/>
    <mergeCell ref="BU4:BW4"/>
    <mergeCell ref="BX4:BZ4"/>
    <mergeCell ref="CA4:CC4"/>
    <mergeCell ref="CD4:CF4"/>
    <mergeCell ref="CG4:CI4"/>
    <mergeCell ref="CJ4:CL4"/>
    <mergeCell ref="CM4:CO4"/>
    <mergeCell ref="DB4:DD4"/>
    <mergeCell ref="DE4:DG4"/>
    <mergeCell ref="DH4:DJ4"/>
    <mergeCell ref="DK4:DM4"/>
    <mergeCell ref="DB3:DG3"/>
    <mergeCell ref="DH3:DM3"/>
    <mergeCell ref="DN3:DP4"/>
    <mergeCell ref="DQ3:DS4"/>
    <mergeCell ref="DT3:DV4"/>
    <mergeCell ref="DW3:DY4"/>
    <mergeCell ref="DZ3:EA4"/>
    <mergeCell ref="P3:U3"/>
    <mergeCell ref="V3:AA3"/>
    <mergeCell ref="AB3:AG3"/>
    <mergeCell ref="AH3:AM3"/>
    <mergeCell ref="AN3:AS3"/>
    <mergeCell ref="AT3:AY3"/>
    <mergeCell ref="AZ3:BE3"/>
    <mergeCell ref="BF3:BK3"/>
    <mergeCell ref="BL3:BQ3"/>
    <mergeCell ref="BR3:BW3"/>
    <mergeCell ref="BX3:CC3"/>
    <mergeCell ref="CD3:CI3"/>
    <mergeCell ref="CJ3:CO3"/>
    <mergeCell ref="CP3:CU3"/>
    <mergeCell ref="B3:B5"/>
    <mergeCell ref="C3:C5"/>
    <mergeCell ref="D3:D5"/>
    <mergeCell ref="E3:E5"/>
    <mergeCell ref="F3:F5"/>
    <mergeCell ref="G3:I4"/>
    <mergeCell ref="J3:O3"/>
    <mergeCell ref="J4:L4"/>
    <mergeCell ref="M4:O4"/>
    <mergeCell ref="P4:R4"/>
    <mergeCell ref="S4:U4"/>
    <mergeCell ref="V4:X4"/>
    <mergeCell ref="Y4:AA4"/>
    <mergeCell ref="AB4:AD4"/>
    <mergeCell ref="AE4:AG4"/>
    <mergeCell ref="AH4:AJ4"/>
    <mergeCell ref="AK4:AM4"/>
    <mergeCell ref="AN4:AP4"/>
    <mergeCell ref="AQ4:AS4"/>
    <mergeCell ref="AT4:AV4"/>
    <mergeCell ref="AW4:AY4"/>
    <mergeCell ref="AZ4:BB4"/>
    <mergeCell ref="BC4:BE4"/>
    <mergeCell ref="BF4:BH4"/>
    <mergeCell ref="BI4:BK4"/>
    <mergeCell ref="BL4:BN4"/>
    <mergeCell ref="BO4:BQ4"/>
    <mergeCell ref="BR4:BT4"/>
    <mergeCell ref="CV3:DA3"/>
    <mergeCell ref="CV4:CX4"/>
    <mergeCell ref="CY4:DA4"/>
  </mergeCells>
  <printOptions/>
  <pageMargins bottom="0.75" footer="0.0" header="0.0" left="0.7" right="0.7" top="0.75"/>
  <pageSetup paperSize="9" orientation="portrait"/>
  <drawing r:id="rId1"/>
</worksheet>
</file>